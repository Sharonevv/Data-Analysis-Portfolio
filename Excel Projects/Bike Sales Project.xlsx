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hidePivotFieldList="1" defaultThemeVersion="166925"/>
  <mc:AlternateContent xmlns:mc="http://schemas.openxmlformats.org/markup-compatibility/2006">
    <mc:Choice Requires="x15">
      <x15ac:absPath xmlns:x15ac="http://schemas.microsoft.com/office/spreadsheetml/2010/11/ac" url="C:\Users\USER\Desktop\Data_Analysis\Sharones Projects\Excel\"/>
    </mc:Choice>
  </mc:AlternateContent>
  <xr:revisionPtr revIDLastSave="0" documentId="13_ncr:1_{6B904BD9-E148-4832-9FC6-39AE7C6A7DDC}" xr6:coauthVersionLast="45"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 sheetId="4" r:id="rId2"/>
    <sheet name="Pivot Tables" sheetId="3" r:id="rId3"/>
    <sheet name="Dashboard" sheetId="5" r:id="rId4"/>
  </sheets>
  <definedNames>
    <definedName name="_xlnm._FilterDatabase" localSheetId="0" hidden="1">bike_buyers!$A$1:$M$1001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<sst xmlns="http://schemas.openxmlformats.org/spreadsheetml/2006/main" count="16268" uniqueCount="52">
  <si>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</si>
  <si>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</si>
  <si>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</si>
  <si>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</si>
  <si>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</si>
  <si>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</si>
  <si>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</si>
  <si>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</si>
  <si>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</si>
  <si>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</si>
  <si>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</si>
  <si>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</si>
  <si>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</si>
  <si>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</si>
  <si>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</si>
  <si>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</si>
  <si>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</si>
  <si>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</si>
  <si>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</si>
  <si>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</si>
  <si>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</si>
  <si>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</si>
  <si>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</si>
  <si>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</si>
  <si>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</si>
  <si>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</si>
  <si>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</si>
  <si>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</si>
  <si>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</si>
  <si>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</si>
  <si>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</si>
  <si>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</si>
  <si>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</si>
  <si>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</si>
  <si>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</si>
  <si>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</si>
  <si>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</si>
  <si>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</si>
  <si>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</si>
  <si>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</si>
  <si>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</si>
  <si>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</si>
  <si>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</si>
  <si>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</si>
  <si>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</si>
  <si>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</si>
  <si>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</si>
  <si>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Mature Adults 31-54</t>
  </si>
  <si>
    <t>Adults 0-30</t>
  </si>
  <si>
    <t>Old 55+</t>
  </si>
  <si>
    <t>Bike Sales Dashboard</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</si>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</sst>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Of Perchase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Tables'!$B$12:$B$13</c:f>
              <c:strCache>
                <c:ptCount val="1"/>
                <c:pt idx="0">
                  <c:v>No</c:v>
                </c:pt>
              </c:strCache>
            </c:strRef>
          </c:tx>
          <c:spPr>
            <a:solidFill>
              <a:schemeClr val="accent1"/>
            </a:solidFill>
            <a:ln>
              <a:noFill/>
            </a:ln>
            <a:effectLst/>
          </c:spPr>
          <c:invertIfNegative val="0"/>
          <c:cat>
            <c:strRef>
              <c:f>'Pivot Tables'!$A$14:$A$16</c:f>
              <c:strCache>
                <c:ptCount val="2"/>
                <c:pt idx="0">
                  <c:v>Female</c:v>
                </c:pt>
                <c:pt idx="1">
                  <c:v>Male</c:v>
                </c:pt>
              </c:strCache>
            </c:strRef>
          </c:cat>
          <c:val>
            <c:numRef>
              <c:f>'Pivot Tables'!$B$14:$B$16</c:f>
              <c:numCache>
                <c:formatCode>_(* #,##0_);_(* \(#,##0\);_(* "-"??_);_(@_)</c:formatCode>
                <c:ptCount val="2"/>
                <c:pt idx="0">
                  <c:v>53440</c:v>
                </c:pt>
                <c:pt idx="1">
                  <c:v>56208.178438661707</c:v>
                </c:pt>
              </c:numCache>
            </c:numRef>
          </c:val>
          <c:extLst>
            <c:ext xmlns:c16="http://schemas.microsoft.com/office/drawing/2014/chart" uri="{C3380CC4-5D6E-409C-BE32-E72D297353CC}">
              <c16:uniqueId val="{00000000-B1C8-4DD2-9BCF-444AB320BAF3}"/>
            </c:ext>
          </c:extLst>
        </c:ser>
        <c:ser>
          <c:idx val="1"/>
          <c:order val="1"/>
          <c:tx>
            <c:strRef>
              <c:f>'Pivot Tables'!$C$12:$C$13</c:f>
              <c:strCache>
                <c:ptCount val="1"/>
                <c:pt idx="0">
                  <c:v>Yes</c:v>
                </c:pt>
              </c:strCache>
            </c:strRef>
          </c:tx>
          <c:spPr>
            <a:solidFill>
              <a:schemeClr val="accent2"/>
            </a:solidFill>
            <a:ln>
              <a:noFill/>
            </a:ln>
            <a:effectLst/>
          </c:spPr>
          <c:invertIfNegative val="0"/>
          <c:cat>
            <c:strRef>
              <c:f>'Pivot Tables'!$A$14:$A$16</c:f>
              <c:strCache>
                <c:ptCount val="2"/>
                <c:pt idx="0">
                  <c:v>Female</c:v>
                </c:pt>
                <c:pt idx="1">
                  <c:v>Male</c:v>
                </c:pt>
              </c:strCache>
            </c:strRef>
          </c:cat>
          <c:val>
            <c:numRef>
              <c:f>'Pivot Tables'!$C$14:$C$16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1C8-4DD2-9BCF-444AB320BAF3}"/>
            </c:ext>
          </c:extLst>
        </c:ser>
        <c:dLbls>
          <c:showLegendKey val="0"/>
          <c:showVal val="0"/>
          <c:showCatName val="0"/>
          <c:showSerName val="0"/>
          <c:showPercent val="0"/>
          <c:showBubbleSize val="0"/>
        </c:dLbls>
        <c:gapWidth val="219"/>
        <c:overlap val="-27"/>
        <c:axId val="1967871280"/>
        <c:axId val="1962541760"/>
      </c:barChart>
      <c:catAx>
        <c:axId val="196787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541760"/>
        <c:crosses val="autoZero"/>
        <c:auto val="1"/>
        <c:lblAlgn val="ctr"/>
        <c:lblOffset val="100"/>
        <c:noMultiLvlLbl val="0"/>
      </c:catAx>
      <c:valAx>
        <c:axId val="1962541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71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Tables'!$B$29:$B$30</c:f>
              <c:strCache>
                <c:ptCount val="1"/>
                <c:pt idx="0">
                  <c:v>No</c:v>
                </c:pt>
              </c:strCache>
            </c:strRef>
          </c:tx>
          <c:spPr>
            <a:ln w="28575" cap="rnd">
              <a:solidFill>
                <a:schemeClr val="accent1"/>
              </a:solidFill>
              <a:round/>
            </a:ln>
            <a:effectLst/>
          </c:spPr>
          <c:marker>
            <c:symbol val="none"/>
          </c:marker>
          <c:cat>
            <c:strRef>
              <c:f>'Pivot Tables'!$A$31:$A$36</c:f>
              <c:strCache>
                <c:ptCount val="5"/>
                <c:pt idx="0">
                  <c:v>0-1 Miles</c:v>
                </c:pt>
                <c:pt idx="1">
                  <c:v>1-2 Miles</c:v>
                </c:pt>
                <c:pt idx="2">
                  <c:v>2-5 Miles</c:v>
                </c:pt>
                <c:pt idx="3">
                  <c:v>5-10 Miles</c:v>
                </c:pt>
                <c:pt idx="4">
                  <c:v>More than 10 Miles</c:v>
                </c:pt>
              </c:strCache>
            </c:strRef>
          </c:cat>
          <c:val>
            <c:numRef>
              <c:f>'Pivot Tables'!$B$31:$B$36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0C1-43A0-908A-3517AA72A7B6}"/>
            </c:ext>
          </c:extLst>
        </c:ser>
        <c:ser>
          <c:idx val="1"/>
          <c:order val="1"/>
          <c:tx>
            <c:strRef>
              <c:f>'Pivot Tables'!$C$29:$C$30</c:f>
              <c:strCache>
                <c:ptCount val="1"/>
                <c:pt idx="0">
                  <c:v>Yes</c:v>
                </c:pt>
              </c:strCache>
            </c:strRef>
          </c:tx>
          <c:spPr>
            <a:ln w="28575" cap="rnd">
              <a:solidFill>
                <a:schemeClr val="accent2"/>
              </a:solidFill>
              <a:round/>
            </a:ln>
            <a:effectLst/>
          </c:spPr>
          <c:marker>
            <c:symbol val="none"/>
          </c:marker>
          <c:cat>
            <c:strRef>
              <c:f>'Pivot Tables'!$A$31:$A$36</c:f>
              <c:strCache>
                <c:ptCount val="5"/>
                <c:pt idx="0">
                  <c:v>0-1 Miles</c:v>
                </c:pt>
                <c:pt idx="1">
                  <c:v>1-2 Miles</c:v>
                </c:pt>
                <c:pt idx="2">
                  <c:v>2-5 Miles</c:v>
                </c:pt>
                <c:pt idx="3">
                  <c:v>5-10 Miles</c:v>
                </c:pt>
                <c:pt idx="4">
                  <c:v>More than 10 Miles</c:v>
                </c:pt>
              </c:strCache>
            </c:strRef>
          </c:cat>
          <c:val>
            <c:numRef>
              <c:f>'Pivot Tables'!$C$31:$C$36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0C1-43A0-908A-3517AA72A7B6}"/>
            </c:ext>
          </c:extLst>
        </c:ser>
        <c:dLbls>
          <c:showLegendKey val="0"/>
          <c:showVal val="0"/>
          <c:showCatName val="0"/>
          <c:showSerName val="0"/>
          <c:showPercent val="0"/>
          <c:showBubbleSize val="0"/>
        </c:dLbls>
        <c:smooth val="0"/>
        <c:axId val="14876800"/>
        <c:axId val="1965632464"/>
      </c:lineChart>
      <c:catAx>
        <c:axId val="1487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32464"/>
        <c:crosses val="autoZero"/>
        <c:auto val="1"/>
        <c:lblAlgn val="ctr"/>
        <c:lblOffset val="100"/>
        <c:noMultiLvlLbl val="0"/>
      </c:catAx>
      <c:valAx>
        <c:axId val="196563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Tables'!$A$49:$A$52</c:f>
              <c:strCache>
                <c:ptCount val="3"/>
                <c:pt idx="0">
                  <c:v>Adults 0-30</c:v>
                </c:pt>
                <c:pt idx="1">
                  <c:v>Mature Adults 31-54</c:v>
                </c:pt>
                <c:pt idx="2">
                  <c:v>Old 55+</c:v>
                </c:pt>
              </c:strCache>
            </c:strRef>
          </c:cat>
          <c:val>
            <c:numRef>
              <c:f>'Pivot Tables'!$B$49:$B$52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265-46B8-834B-93BDF33B74E0}"/>
            </c:ext>
          </c:extLst>
        </c:ser>
        <c:ser>
          <c:idx val="1"/>
          <c:order val="1"/>
          <c:tx>
            <c:strRef>
              <c:f>'Pivot Tables'!$C$47:$C$48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Tables'!$A$49:$A$52</c:f>
              <c:strCache>
                <c:ptCount val="3"/>
                <c:pt idx="0">
                  <c:v>Adults 0-30</c:v>
                </c:pt>
                <c:pt idx="1">
                  <c:v>Mature Adults 31-54</c:v>
                </c:pt>
                <c:pt idx="2">
                  <c:v>Old 55+</c:v>
                </c:pt>
              </c:strCache>
            </c:strRef>
          </c:cat>
          <c:val>
            <c:numRef>
              <c:f>'Pivot Tables'!$C$49:$C$52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265-46B8-834B-93BDF33B74E0}"/>
            </c:ext>
          </c:extLst>
        </c:ser>
        <c:dLbls>
          <c:showLegendKey val="0"/>
          <c:showVal val="0"/>
          <c:showCatName val="0"/>
          <c:showSerName val="0"/>
          <c:showPercent val="0"/>
          <c:showBubbleSize val="0"/>
        </c:dLbls>
        <c:marker val="1"/>
        <c:smooth val="0"/>
        <c:axId val="911424"/>
        <c:axId val="1974769424"/>
      </c:lineChart>
      <c:catAx>
        <c:axId val="91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69424"/>
        <c:crosses val="autoZero"/>
        <c:auto val="1"/>
        <c:lblAlgn val="ctr"/>
        <c:lblOffset val="100"/>
        <c:noMultiLvlLbl val="0"/>
      </c:catAx>
      <c:valAx>
        <c:axId val="197476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Tables'!$A$49:$A$52</c:f>
              <c:strCache>
                <c:ptCount val="3"/>
                <c:pt idx="0">
                  <c:v>Adults 0-30</c:v>
                </c:pt>
                <c:pt idx="1">
                  <c:v>Mature Adults 31-54</c:v>
                </c:pt>
                <c:pt idx="2">
                  <c:v>Old 55+</c:v>
                </c:pt>
              </c:strCache>
            </c:strRef>
          </c:cat>
          <c:val>
            <c:numRef>
              <c:f>'Pivot Tables'!$B$49:$B$52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1C5-448F-B4E3-A9A8D5861329}"/>
            </c:ext>
          </c:extLst>
        </c:ser>
        <c:ser>
          <c:idx val="1"/>
          <c:order val="1"/>
          <c:tx>
            <c:strRef>
              <c:f>'Pivot Tables'!$C$47:$C$48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Tables'!$A$49:$A$52</c:f>
              <c:strCache>
                <c:ptCount val="3"/>
                <c:pt idx="0">
                  <c:v>Adults 0-30</c:v>
                </c:pt>
                <c:pt idx="1">
                  <c:v>Mature Adults 31-54</c:v>
                </c:pt>
                <c:pt idx="2">
                  <c:v>Old 55+</c:v>
                </c:pt>
              </c:strCache>
            </c:strRef>
          </c:cat>
          <c:val>
            <c:numRef>
              <c:f>'Pivot Tables'!$C$49:$C$52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1C5-448F-B4E3-A9A8D5861329}"/>
            </c:ext>
          </c:extLst>
        </c:ser>
        <c:dLbls>
          <c:showLegendKey val="0"/>
          <c:showVal val="0"/>
          <c:showCatName val="0"/>
          <c:showSerName val="0"/>
          <c:showPercent val="0"/>
          <c:showBubbleSize val="0"/>
        </c:dLbls>
        <c:marker val="1"/>
        <c:smooth val="0"/>
        <c:axId val="911424"/>
        <c:axId val="1974769424"/>
      </c:lineChart>
      <c:catAx>
        <c:axId val="91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769424"/>
        <c:crosses val="autoZero"/>
        <c:auto val="1"/>
        <c:lblAlgn val="ctr"/>
        <c:lblOffset val="100"/>
        <c:noMultiLvlLbl val="0"/>
      </c:catAx>
      <c:valAx>
        <c:axId val="197476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Tables'!$A$31:$A$36</c:f>
              <c:strCache>
                <c:ptCount val="5"/>
                <c:pt idx="0">
                  <c:v>0-1 Miles</c:v>
                </c:pt>
                <c:pt idx="1">
                  <c:v>1-2 Miles</c:v>
                </c:pt>
                <c:pt idx="2">
                  <c:v>2-5 Miles</c:v>
                </c:pt>
                <c:pt idx="3">
                  <c:v>5-10 Miles</c:v>
                </c:pt>
                <c:pt idx="4">
                  <c:v>More than 10 Miles</c:v>
                </c:pt>
              </c:strCache>
            </c:strRef>
          </c:cat>
          <c:val>
            <c:numRef>
              <c:f>'Pivot Tables'!$B$31:$B$36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8BB-4ABA-850A-58B07F2D1C58}"/>
            </c:ext>
          </c:extLst>
        </c:ser>
        <c:ser>
          <c:idx val="1"/>
          <c:order val="1"/>
          <c:tx>
            <c:strRef>
              <c:f>'Pivot Tables'!$C$29:$C$30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Tables'!$A$31:$A$36</c:f>
              <c:strCache>
                <c:ptCount val="5"/>
                <c:pt idx="0">
                  <c:v>0-1 Miles</c:v>
                </c:pt>
                <c:pt idx="1">
                  <c:v>1-2 Miles</c:v>
                </c:pt>
                <c:pt idx="2">
                  <c:v>2-5 Miles</c:v>
                </c:pt>
                <c:pt idx="3">
                  <c:v>5-10 Miles</c:v>
                </c:pt>
                <c:pt idx="4">
                  <c:v>More than 10 Miles</c:v>
                </c:pt>
              </c:strCache>
            </c:strRef>
          </c:cat>
          <c:val>
            <c:numRef>
              <c:f>'Pivot Tables'!$C$31:$C$36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8BB-4ABA-850A-58B07F2D1C58}"/>
            </c:ext>
          </c:extLst>
        </c:ser>
        <c:dLbls>
          <c:showLegendKey val="0"/>
          <c:showVal val="0"/>
          <c:showCatName val="0"/>
          <c:showSerName val="0"/>
          <c:showPercent val="0"/>
          <c:showBubbleSize val="0"/>
        </c:dLbls>
        <c:marker val="1"/>
        <c:smooth val="0"/>
        <c:axId val="14876800"/>
        <c:axId val="1965632464"/>
      </c:lineChart>
      <c:catAx>
        <c:axId val="14876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5632464"/>
        <c:crosses val="autoZero"/>
        <c:auto val="1"/>
        <c:lblAlgn val="ctr"/>
        <c:lblOffset val="100"/>
        <c:noMultiLvlLbl val="0"/>
      </c:catAx>
      <c:valAx>
        <c:axId val="1965632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7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Tables!PivotTable2</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 Income Of Perchase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Tables'!$B$12:$B$13</c:f>
              <c:strCache>
                <c:ptCount val="1"/>
                <c:pt idx="0">
                  <c:v>No</c:v>
                </c:pt>
              </c:strCache>
            </c:strRef>
          </c:tx>
          <c:spPr>
            <a:solidFill>
              <a:schemeClr val="accent1"/>
            </a:solidFill>
            <a:ln>
              <a:noFill/>
            </a:ln>
            <a:effectLst/>
          </c:spPr>
          <c:invertIfNegative val="0"/>
          <c:cat>
            <c:strRef>
              <c:f>'Pivot Tables'!$A$14:$A$16</c:f>
              <c:strCache>
                <c:ptCount val="2"/>
                <c:pt idx="0">
                  <c:v>Female</c:v>
                </c:pt>
                <c:pt idx="1">
                  <c:v>Male</c:v>
                </c:pt>
              </c:strCache>
            </c:strRef>
          </c:cat>
          <c:val>
            <c:numRef>
              <c:f>'Pivot Tables'!$B$14:$B$16</c:f>
              <c:numCache>
                <c:formatCode>_(* #,##0_);_(* \(#,##0\);_(* "-"??_);_(@_)</c:formatCode>
                <c:ptCount val="2"/>
                <c:pt idx="0">
                  <c:v>53440</c:v>
                </c:pt>
                <c:pt idx="1">
                  <c:v>56208.178438661707</c:v>
                </c:pt>
              </c:numCache>
            </c:numRef>
          </c:val>
          <c:extLst>
            <c:ext xmlns:c16="http://schemas.microsoft.com/office/drawing/2014/chart" uri="{C3380CC4-5D6E-409C-BE32-E72D297353CC}">
              <c16:uniqueId val="{00000000-84F5-46DE-B875-06D63F48D9B4}"/>
            </c:ext>
          </c:extLst>
        </c:ser>
        <c:ser>
          <c:idx val="1"/>
          <c:order val="1"/>
          <c:tx>
            <c:strRef>
              <c:f>'Pivot Tables'!$C$12:$C$13</c:f>
              <c:strCache>
                <c:ptCount val="1"/>
                <c:pt idx="0">
                  <c:v>Yes</c:v>
                </c:pt>
              </c:strCache>
            </c:strRef>
          </c:tx>
          <c:spPr>
            <a:solidFill>
              <a:schemeClr val="accent2"/>
            </a:solidFill>
            <a:ln>
              <a:noFill/>
            </a:ln>
            <a:effectLst/>
          </c:spPr>
          <c:invertIfNegative val="0"/>
          <c:cat>
            <c:strRef>
              <c:f>'Pivot Tables'!$A$14:$A$16</c:f>
              <c:strCache>
                <c:ptCount val="2"/>
                <c:pt idx="0">
                  <c:v>Female</c:v>
                </c:pt>
                <c:pt idx="1">
                  <c:v>Male</c:v>
                </c:pt>
              </c:strCache>
            </c:strRef>
          </c:cat>
          <c:val>
            <c:numRef>
              <c:f>'Pivot Tables'!$C$14:$C$16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4F5-46DE-B875-06D63F48D9B4}"/>
            </c:ext>
          </c:extLst>
        </c:ser>
        <c:dLbls>
          <c:showLegendKey val="0"/>
          <c:showVal val="0"/>
          <c:showCatName val="0"/>
          <c:showSerName val="0"/>
          <c:showPercent val="0"/>
          <c:showBubbleSize val="0"/>
        </c:dLbls>
        <c:gapWidth val="199"/>
        <c:axId val="1967871280"/>
        <c:axId val="1962541760"/>
      </c:barChart>
      <c:catAx>
        <c:axId val="19678712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2541760"/>
        <c:crosses val="autoZero"/>
        <c:auto val="1"/>
        <c:lblAlgn val="ctr"/>
        <c:lblOffset val="100"/>
        <c:noMultiLvlLbl val="0"/>
      </c:catAx>
      <c:valAx>
        <c:axId val="19625417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87128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285749</xdr:colOff>
      <xdr:row>6</xdr:row>
      <xdr:rowOff>1</xdr:rowOff>
    </xdr:from>
    <xdr:to>
      <xdr:col>13</xdr:col>
      <xdr:colOff>581025</xdr:colOff>
      <xdr:row>21</xdr:row>
      <xdr:rowOff>9527</xdr:rowOff>
    </xdr:to>
    <xdr:graphicFrame macro="">
      <xdr:nvGraphicFramePr>
        <xdr:cNvPr id="3" name="Chart 2">
          <a:extLst>
            <a:ext uri="{FF2B5EF4-FFF2-40B4-BE49-F238E27FC236}">
              <a16:creationId xmlns:a16="http://schemas.microsoft.com/office/drawing/2014/main" id="{5BB25C98-EE00-4AEB-B73E-C783E4E25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25</xdr:row>
      <xdr:rowOff>4762</xdr:rowOff>
    </xdr:from>
    <xdr:to>
      <xdr:col>13</xdr:col>
      <xdr:colOff>600076</xdr:colOff>
      <xdr:row>41</xdr:row>
      <xdr:rowOff>0</xdr:rowOff>
    </xdr:to>
    <xdr:graphicFrame macro="">
      <xdr:nvGraphicFramePr>
        <xdr:cNvPr id="4" name="Chart 3">
          <a:extLst>
            <a:ext uri="{FF2B5EF4-FFF2-40B4-BE49-F238E27FC236}">
              <a16:creationId xmlns:a16="http://schemas.microsoft.com/office/drawing/2014/main" id="{547CC72C-5CCD-4103-8EFA-BCA760962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295275</xdr:colOff>
      <xdr:row>44</xdr:row>
      <xdr:rowOff>176212</xdr:rowOff>
    </xdr:from>
    <xdr:to>
      <xdr:col>14</xdr:col>
      <xdr:colOff>9525</xdr:colOff>
      <xdr:row>59</xdr:row>
      <xdr:rowOff>61912</xdr:rowOff>
    </xdr:to>
    <xdr:graphicFrame macro="">
      <xdr:nvGraphicFramePr>
        <xdr:cNvPr id="5" name="Chart 4">
          <a:extLst>
            <a:ext uri="{FF2B5EF4-FFF2-40B4-BE49-F238E27FC236}">
              <a16:creationId xmlns:a16="http://schemas.microsoft.com/office/drawing/2014/main" id="{28008B73-E57E-4BAE-B74E-F6D5E85FF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276226</xdr:colOff>
      <xdr:row>6</xdr:row>
      <xdr:rowOff>38101</xdr:rowOff>
    </xdr:from>
    <xdr:to>
      <xdr:col>17</xdr:col>
      <xdr:colOff>590552</xdr:colOff>
      <xdr:row>20</xdr:row>
      <xdr:rowOff>133350</xdr:rowOff>
    </xdr:to>
    <xdr:graphicFrame macro="">
      <xdr:nvGraphicFramePr>
        <xdr:cNvPr id="3" name="Chart 2">
          <a:extLst>
            <a:ext uri="{FF2B5EF4-FFF2-40B4-BE49-F238E27FC236}">
              <a16:creationId xmlns:a16="http://schemas.microsoft.com/office/drawing/2014/main" id="{C09FA6F2-07D7-4446-A749-669A7A8BE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21</xdr:row>
      <xdr:rowOff>85724</xdr:rowOff>
    </xdr:from>
    <xdr:to>
      <xdr:col>18</xdr:col>
      <xdr:colOff>19050</xdr:colOff>
      <xdr:row>34</xdr:row>
      <xdr:rowOff>133349</xdr:rowOff>
    </xdr:to>
    <xdr:graphicFrame macro="">
      <xdr:nvGraphicFramePr>
        <xdr:cNvPr id="5" name="Chart 4">
          <a:extLst>
            <a:ext uri="{FF2B5EF4-FFF2-40B4-BE49-F238E27FC236}">
              <a16:creationId xmlns:a16="http://schemas.microsoft.com/office/drawing/2014/main" id="{803FEE89-B1A5-49DB-BD2C-663D258DA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66676</xdr:colOff>
      <xdr:row>6</xdr:row>
      <xdr:rowOff>38099</xdr:rowOff>
    </xdr:from>
    <xdr:to>
      <xdr:col>10</xdr:col>
      <xdr:colOff>161926</xdr:colOff>
      <xdr:row>20</xdr:row>
      <xdr:rowOff>142874</xdr:rowOff>
    </xdr:to>
    <xdr:graphicFrame macro="">
      <xdr:nvGraphicFramePr>
        <xdr:cNvPr id="7" name="Chart 6">
          <a:extLst>
            <a:ext uri="{FF2B5EF4-FFF2-40B4-BE49-F238E27FC236}">
              <a16:creationId xmlns:a16="http://schemas.microsoft.com/office/drawing/2014/main" id="{532F6ADC-985F-41F6-AA11-A9A6EBD47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6</xdr:row>
      <xdr:rowOff>47626</xdr:rowOff>
    </xdr:from>
    <xdr:to>
      <xdr:col>2</xdr:col>
      <xdr:colOff>590550</xdr:colOff>
      <xdr:row>11</xdr:row>
      <xdr:rowOff>19050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7F5D885A-79C8-4108-829F-B02F1A985D2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 y="1190626"/>
              <a:ext cx="1800225"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66676</xdr:rowOff>
    </xdr:from>
    <xdr:to>
      <xdr:col>2</xdr:col>
      <xdr:colOff>581024</xdr:colOff>
      <xdr:row>31</xdr:row>
      <xdr:rowOff>76200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9EE4B164-565D-4FEE-8C56-E7E4AC3A0D7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257676"/>
              <a:ext cx="1800224"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95251</xdr:rowOff>
    </xdr:from>
    <xdr:to>
      <xdr:col>2</xdr:col>
      <xdr:colOff>590550</xdr:colOff>
      <xdr:row>19</xdr:row>
      <xdr:rowOff>142875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84CA498-8321-4059-AB3A-6A8FCA3BD7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571751"/>
              <a:ext cx="1809750"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007763310183" createdVersion="6" refreshedVersion="6" minRefreshableVersion="3" recordCount="1000" xr:uid="{FA219FD6-A08E-4C7B-8D2D-A2B08CE713BE}">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8">
        <s v="Mature Adults 31-54"/>
        <s v="Old 55+"/>
        <s v="Adults 0-30"/>
        <s v="Young Adults" u="1"/>
        <s v="Old 55 and above" u="1"/>
        <s v="Adults" u="1"/>
        <s v="Mature Adults"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475962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001AA-92C4-4707-B847-EB35652AE09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47:D5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9">
        <item m="1" x="5"/>
        <item x="2"/>
        <item m="1" x="6"/>
        <item x="0"/>
        <item m="1" x="7"/>
        <item m="1" x="4"/>
        <item x="1"/>
        <item m="1" x="3"/>
        <item t="default"/>
      </items>
    </pivotField>
    <pivotField axis="axisCol" dataField="1" showAll="0">
      <items count="3">
        <item x="0"/>
        <item x="1"/>
        <item t="default"/>
      </items>
    </pivotField>
  </pivotFields>
  <rowFields count="1">
    <field x="12"/>
  </rowFields>
  <rowItems count="4">
    <i>
      <x v="1"/>
    </i>
    <i>
      <x v="3"/>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CF63D-EC38-4102-B2F7-887EAA5F0F3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29: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1253C-7A36-4F2B-AA61-17EA919DA76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2:D1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C0E778-6002-4556-8744-AF4697FD996A}" sourceName="Marital Status">
  <pivotTables>
    <pivotTable tabId="3" name="PivotTable2"/>
    <pivotTable tabId="3" name="PivotTable3"/>
    <pivotTable tabId="3" name="PivotTable4"/>
  </pivotTables>
  <data>
    <tabular pivotCacheId="4759629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26C473-D3E4-41FB-8ECB-F2916EC9B0C8}" sourceName="Education">
  <pivotTables>
    <pivotTable tabId="3" name="PivotTable2"/>
    <pivotTable tabId="3" name="PivotTable3"/>
    <pivotTable tabId="3" name="PivotTable4"/>
  </pivotTables>
  <data>
    <tabular pivotCacheId="4759629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B18AEC-0B44-409D-938B-2EE402D0A1D7}" sourceName="Region">
  <pivotTables>
    <pivotTable tabId="3" name="PivotTable2"/>
    <pivotTable tabId="3" name="PivotTable3"/>
    <pivotTable tabId="3" name="PivotTable4"/>
  </pivotTables>
  <data>
    <tabular pivotCacheId="4759629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B60EE1A-AF7E-44AB-A15D-5AC67E34275A}" cache="Slicer_Marital_Status" caption="Marital Status" rowHeight="241300"/>
  <slicer name="Education" xr10:uid="{6471B586-7916-4D2D-AFD5-D0C3488A4AAC}" cache="Slicer_Education" caption="Education" rowHeight="241300"/>
  <slicer name="Region" xr10:uid="{1BDCFA6C-A1A6-4E2E-843A-9A36F4E07AD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8904-E24E-4CC2-A408-A6ABAF730D0B}">
  <dimension ref="A1:N1001"/>
  <sheetViews>
    <sheetView topLeftCell="G1" workbookViewId="0">
      <selection activeCell="M2" sqref="M2:M1001"/>
    </sheetView>
  </sheetViews>
  <sheetFormatPr defaultColWidth="19.42578125" defaultRowHeight="15" x14ac:dyDescent="0.25"/>
  <cols>
    <col min="2" max="2" width="19.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55+",IF(L2&gt;=31,"Mature Adults 31-54",IF(L2&lt;31,"Adults 0-30","Invalid")))</f>
        <v>Mature Adults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55+",IF(L3&gt;=31,"Mature Adults 31-54",IF(L3&lt;31,"Adults 0-30","Invalid")))</f>
        <v>Mature Adults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Mature Adults 31-54</v>
      </c>
      <c r="N5" t="s">
        <v>15</v>
      </c>
    </row>
    <row r="6" spans="1:14" x14ac:dyDescent="0.25">
      <c r="A6">
        <v>25597</v>
      </c>
      <c r="B6" t="s">
        <v>37</v>
      </c>
      <c r="C6" t="s">
        <v>38</v>
      </c>
      <c r="D6" s="3">
        <v>30000</v>
      </c>
      <c r="E6">
        <v>0</v>
      </c>
      <c r="F6" t="s">
        <v>13</v>
      </c>
      <c r="G6" t="s">
        <v>20</v>
      </c>
      <c r="H6" t="s">
        <v>18</v>
      </c>
      <c r="I6">
        <v>0</v>
      </c>
      <c r="J6" t="s">
        <v>16</v>
      </c>
      <c r="K6" t="s">
        <v>17</v>
      </c>
      <c r="L6">
        <v>36</v>
      </c>
      <c r="M6" t="str">
        <f t="shared" si="0"/>
        <v>Mature Adults 31-54</v>
      </c>
      <c r="N6" t="s">
        <v>15</v>
      </c>
    </row>
    <row r="7" spans="1:14" x14ac:dyDescent="0.25">
      <c r="A7">
        <v>13507</v>
      </c>
      <c r="B7" t="s">
        <v>36</v>
      </c>
      <c r="C7" t="s">
        <v>39</v>
      </c>
      <c r="D7" s="3">
        <v>10000</v>
      </c>
      <c r="E7">
        <v>2</v>
      </c>
      <c r="F7" t="s">
        <v>19</v>
      </c>
      <c r="G7" t="s">
        <v>25</v>
      </c>
      <c r="H7" t="s">
        <v>15</v>
      </c>
      <c r="I7">
        <v>0</v>
      </c>
      <c r="J7" t="s">
        <v>26</v>
      </c>
      <c r="K7" t="s">
        <v>17</v>
      </c>
      <c r="L7">
        <v>50</v>
      </c>
      <c r="M7" t="str">
        <f t="shared" si="0"/>
        <v>Mature Adults 31-54</v>
      </c>
      <c r="N7" t="s">
        <v>18</v>
      </c>
    </row>
    <row r="8" spans="1:14" x14ac:dyDescent="0.25">
      <c r="A8">
        <v>27974</v>
      </c>
      <c r="B8" t="s">
        <v>37</v>
      </c>
      <c r="C8" t="s">
        <v>38</v>
      </c>
      <c r="D8" s="3">
        <v>160000</v>
      </c>
      <c r="E8">
        <v>2</v>
      </c>
      <c r="F8" t="s">
        <v>27</v>
      </c>
      <c r="G8" t="s">
        <v>28</v>
      </c>
      <c r="H8" t="s">
        <v>15</v>
      </c>
      <c r="I8">
        <v>4</v>
      </c>
      <c r="J8" t="s">
        <v>16</v>
      </c>
      <c r="K8" t="s">
        <v>24</v>
      </c>
      <c r="L8">
        <v>33</v>
      </c>
      <c r="M8" t="str">
        <f t="shared" si="0"/>
        <v>Mature Adults 31-54</v>
      </c>
      <c r="N8" t="s">
        <v>15</v>
      </c>
    </row>
    <row r="9" spans="1:14" x14ac:dyDescent="0.25">
      <c r="A9">
        <v>19364</v>
      </c>
      <c r="B9" t="s">
        <v>36</v>
      </c>
      <c r="C9" t="s">
        <v>38</v>
      </c>
      <c r="D9" s="3">
        <v>40000</v>
      </c>
      <c r="E9">
        <v>1</v>
      </c>
      <c r="F9" t="s">
        <v>13</v>
      </c>
      <c r="G9" t="s">
        <v>14</v>
      </c>
      <c r="H9" t="s">
        <v>15</v>
      </c>
      <c r="I9">
        <v>0</v>
      </c>
      <c r="J9" t="s">
        <v>16</v>
      </c>
      <c r="K9" t="s">
        <v>17</v>
      </c>
      <c r="L9">
        <v>43</v>
      </c>
      <c r="M9" t="str">
        <f t="shared" si="0"/>
        <v>Mature Adults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Mature Adults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Mature Adults 31-54</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Mature Adults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Mature Adults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Mature Adults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Mature Adults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Mature Adults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Mature Adults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Mature Adults 31-54</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Mature Adults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Mature Adults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Mature Adults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Adults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Mature Adults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Mature Adults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Mature Adults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Adults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Mature Adults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Mature Adults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Mature Adults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Mature Adults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Adults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Adults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Mature Adults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Mature Adults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Mature Adults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Mature Adults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Mature Adults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Mature Adults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Mature Adults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Mature Adults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Mature Adults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Adults 0-30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Mature Adults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Mature Adults 31-54</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Mature Adults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Mature Adults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Mature Adults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Mature Adults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Mature Adults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Mature Adults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Mature Adults 31-54</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Mature Adults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Mature Adults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55+",IF(L67&gt;=31,"Mature Adults 31-54",IF(L67&lt;31,"Adults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Mature Adults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Mature Adults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Mature Adults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Adults 0-30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Mature Adults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Mature Adults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Mature Adults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Mature Adults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Mature Adults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Adults 0-30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Adults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Mature Adults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Mature Adults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Mature Adults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Mature Adults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Adults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Mature Adults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Adults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Mature Adults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Mature Adults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Adults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Mature Adults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Adults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Adults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Mature Adults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Mature Adults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Mature Adults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Mature Adults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Adults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Mature Adults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Mature Adults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Mature Adults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Mature Adults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Mature Adults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Mature Adults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Adults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Mature Adults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Mature Adults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Mature Adults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Mature Adults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Mature Adults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Mature Adults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Mature Adults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Mature Adults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Adults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Adults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Mature Adults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Mature Adults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Adults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Mature Adults 31-54</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Mature Adults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Mature Adults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Mature Adults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Mature Adults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Mature Adults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Mature Adults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55+",IF(L131&gt;=31,"Mature Adults 31-54",IF(L131&lt;31,"Adults 0-30","Invalid")))</f>
        <v>Mature Adults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Mature Adults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Mature Adults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Mature Adults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Mature Adults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Mature Adults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Mature Adults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Mature Adults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Adults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Mature Adults 31-54</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Mature Adults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Mature Adults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Mature Adults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Mature Adults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Mature Adults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Adults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Mature Adults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Mature Adults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Mature Adults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Mature Adults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Mature Adults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Mature Adults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Mature Adults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Mature Adults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Mature Adults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Mature Adults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Mature Adults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Mature Adults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Mature Adults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Adults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Adults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Mature Adults 31-54</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Mature Adults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Mature Adults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Mature Adults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Mature Adults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Adults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Mature Adults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Mature Adults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Adults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Mature Adults 31-54</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Mature Adults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Mature Adults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Mature Adults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Mature Adults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Mature Adults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Mature Adults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Mature Adults 31-54</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 55+",IF(L195&gt;=31,"Mature Adults 31-54",IF(L195&lt;31,"Adults 0-30","Invalid")))</f>
        <v>Mature Adults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Mature Adults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Adults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Mature Adults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Mature Adults 31-54</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Mature Adults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Mature Adults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Adults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Mature Adults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Mature Adults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Mature Adults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Mature Adults 31-54</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Adults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Mature Adults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Mature Adults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Mature Adults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Mature Adults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Adults 0-30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Mature Adults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Mature Adults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Mature Adults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Adults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Mature Adults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Adults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Mature Adults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Mature Adults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Mature Adults 31-54</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Mature Adults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Mature Adults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Mature Adults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Mature Adults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Mature Adults 31-54</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Mature Adults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Mature Adults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Adults 0-30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Mature Adults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Mature Adults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Adults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Mature Adults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Mature Adults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Mature Adults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Adults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Mature Adults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Adults 0-30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Mature Adults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Mature Adults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Mature Adults 31-54</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Mature Adults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Mature Adults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Mature Adults 31-54</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Mature Adults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Mature Adults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55+",IF(L259&gt;=31,"Mature Adults 31-54",IF(L259&lt;31,"Adults 0-30","Invalid")))</f>
        <v>Mature Adults 31-54</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Mature Adults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Mature Adults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Mature Adults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Mature Adults 31-54</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Mature Adults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Mature Adults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Mature Adults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Adults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Mature Adults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Mature Adults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Mature Adults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Mature Adults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Adults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Mature Adults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Adults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Mature Adults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Mature Adults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Mature Adults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Mature Adults 31-54</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Mature Adults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Mature Adults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Mature Adults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Mature Adults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Mature Adults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Mature Adults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Mature Adults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Mature Adults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Mature Adults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Mature Adults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Mature Adults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Mature Adults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Mature Adults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Mature Adults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Mature Adults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Mature Adults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Mature Adults 31-54</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Mature Adults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Mature Adults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Mature Adults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Mature Adults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Adults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Mature Adults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Mature Adults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Mature Adults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Mature Adults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Mature Adults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Mature Adults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Mature Adults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Mature Adults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Mature Adults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Mature Adults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Mature Adults 31-54</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Mature Adults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Mature Adults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Mature Adults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55+",IF(L323&gt;=31,"Mature Adults 31-54",IF(L323&lt;31,"Adults 0-30","Invalid")))</f>
        <v>Mature Adults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Mature Adults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Mature Adults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Mature Adults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Mature Adults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Adults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Mature Adults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Mature Adults 31-54</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Mature Adults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Adults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Mature Adults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Mature Adults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Mature Adults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Mature Adults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Mature Adults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Mature Adults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Mature Adults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Adults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Mature Adults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Mature Adults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Mature Adults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Mature Adults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Mature Adults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Mature Adults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Mature Adults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Mature Adults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Adults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Adults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Mature Adults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Mature Adults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Mature Adults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Mature Adults 31-54</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Mature Adults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Mature Adults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Mature Adults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Adults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Mature Adults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Adults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Mature Adults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Mature Adults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Mature Adults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Mature Adults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Mature Adults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Mature Adults 31-54</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Mature Adults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Mature Adults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Mature Adults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Adults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Mature Adults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Mature Adults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Mature Adults 31-54</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Adults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Mature Adults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Mature Adults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Adults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55+",IF(L387&gt;=31,"Mature Adults 31-54",IF(L387&lt;31,"Adults 0-30","Invalid")))</f>
        <v>Mature Adults 31-54</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Mature Adults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Mature Adults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Mature Adults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Mature Adults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Mature Adults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Mature Adults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Mature Adults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Mature Adults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Mature Adults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Mature Adults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Mature Adults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Mature Adults 31-54</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Mature Adults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Mature Adults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Mature Adults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Mature Adults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Mature Adults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Mature Adults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Mature Adults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Mature Adults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Mature Adults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Mature Adults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Mature Adults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Mature Adults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Mature Adults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Mature Adults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Mature Adults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Mature Adults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Mature Adults 31-54</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Mature Adults 31-54</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Mature Adults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Mature Adults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Mature Adults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Adults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Mature Adults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Mature Adults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Mature Adults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Adults 0-30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Mature Adults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Adults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Mature Adults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Mature Adults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Adults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Mature Adults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Mature Adults 31-54</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Mature Adults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Mature Adults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Mature Adults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Mature Adults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Mature Adults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Mature Adults 31-54</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Mature Adults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Mature Adults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Mature Adults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55+",IF(L451&gt;=31,"Mature Adults 31-54",IF(L451&lt;31,"Adults 0-30","Invalid")))</f>
        <v>Mature Adults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Mature Adults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Mature Adults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Mature Adults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Mature Adults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Mature Adults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Mature Adults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Mature Adults 31-54</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Mature Adults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Mature Adults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Mature Adults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Mature Adults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Mature Adults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Mature Adults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Mature Adults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Mature Adults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Mature Adults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Adults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Mature Adults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Mature Adults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Mature Adults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Mature Adults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Mature Adults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Mature Adults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Mature Adults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Mature Adults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Mature Adults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Mature Adults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Mature Adults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Mature Adults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Mature Adults 31-54</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Mature Adults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Mature Adults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Mature Adults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Mature Adults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Mature Adults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Mature Adults 31-54</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Mature Adults 31-54</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Mature Adults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Mature Adults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Mature Adults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Mature Adults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Mature Adults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Mature Adults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Adults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Mature Adults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Mature Adults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Mature Adults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Mature Adults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Mature Adults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Adults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Mature Adults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Mature Adults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Mature Adults 31-54</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 55+",IF(L515&gt;=31,"Mature Adults 31-54",IF(L515&lt;31,"Adults 0-30","Invalid")))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Mature Adults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Mature Adults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Mature Adults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Mature Adults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Mature Adults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Mature Adults 31-54</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Mature Adults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Mature Adults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Mature Adults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Mature Adults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Adults 0-30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Adults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Adults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Mature Adults 31-54</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Mature Adults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Mature Adults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Mature Adults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Mature Adults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Mature Adults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Mature Adults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Mature Adults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Adults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Mature Adults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Mature Adults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Adults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Mature Adults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Mature Adults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Mature Adults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Mature Adults 31-54</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Mature Adults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Mature Adults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Mature Adults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Mature Adults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Mature Adults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Mature Adults 31-54</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Mature Adults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Mature Adults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Mature Adults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Adults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Adults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Mature Adults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Mature Adults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Mature Adults 31-54</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Mature Adults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Adults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Mature Adults 31-54</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Mature Adults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55+",IF(L579&gt;=31,"Mature Adults 31-54",IF(L579&lt;31,"Adults 0-30","Invalid")))</f>
        <v>Mature Adults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Mature Adults 31-54</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Adults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Mature Adults 31-54</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Mature Adults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Mature Adults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Mature Adults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Mature Adults 31-54</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Mature Adults 31-54</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Mature Adults 31-54</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Mature Adults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Mature Adults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Mature Adults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Mature Adults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Mature Adults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Mature Adults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Mature Adults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Mature Adults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Adults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Mature Adults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Mature Adults 31-54</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Mature Adults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Mature Adults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Mature Adults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Mature Adults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Mature Adults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Adults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Mature Adults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Mature Adults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Mature Adults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Mature Adults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Mature Adults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Mature Adults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Adults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Mature Adults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Mature Adults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Adults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Adults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Mature Adults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Mature Adults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Adults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Mature Adults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Mature Adults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Mature Adults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Mature Adults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Mature Adults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Adults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 55+",IF(L643&gt;=31,"Mature Adults 31-54",IF(L643&lt;31,"Adults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Mature Adults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Mature Adults 31-54</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Mature Adults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Mature Adults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Mature Adults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Mature Adults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Mature Adults 31-54</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Mature Adults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Mature Adults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Mature Adults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Mature Adults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Mature Adults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Mature Adults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Mature Adults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Mature Adults 31-54</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Mature Adults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Adults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Mature Adults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Mature Adults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Mature Adults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Mature Adults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Mature Adults 31-54</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Mature Adults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Mature Adults 31-54</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Mature Adults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Adults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Mature Adults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Mature Adults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Mature Adults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Mature Adults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Mature Adults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Mature Adults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Mature Adults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Mature Adults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Mature Adults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Mature Adults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Mature Adults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Mature Adults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Adults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Adults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Adults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Mature Adults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Mature Adults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Mature Adults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Mature Adults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Mature Adults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Mature Adults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Adults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Adults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Mature Adults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Mature Adults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Adults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Mature Adults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Mature Adults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Mature Adults 31-54</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 55+",IF(L707&gt;=31,"Mature Adults 31-54",IF(L707&lt;31,"Adults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Mature Adults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Mature Adults 31-54</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Mature Adults 31-54</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Mature Adults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Adults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Mature Adults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Mature Adults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Mature Adults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Mature Adults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Mature Adults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Mature Adults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Mature Adults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Mature Adults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Mature Adults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Mature Adults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Mature Adults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Mature Adults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Adults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Mature Adults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Mature Adults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Mature Adults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Mature Adults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Mature Adults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Mature Adults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Adults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Mature Adults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Mature Adults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Mature Adults 31-54</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Adults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Mature Adults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Adults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Mature Adults 31-54</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Mature Adults 31-54</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Mature Adults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Mature Adults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Mature Adults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Mature Adults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Adults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Mature Adults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Mature Adults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Mature Adults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Mature Adults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Mature Adults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Mature Adults 31-54</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Mature Adults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Mature Adults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Adults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Mature Adults 31-54</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Mature Adults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Mature Adults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55+",IF(L771&gt;=31,"Mature Adults 31-54",IF(L771&lt;31,"Adults 0-30","Invalid")))</f>
        <v>Mature Adults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Mature Adults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Mature Adults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Mature Adults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Mature Adults 31-54</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Mature Adults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Adults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Mature Adults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Mature Adults 31-54</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Mature Adults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Mature Adults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Mature Adults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Mature Adults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Adults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Mature Adults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Mature Adults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Mature Adults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Mature Adults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Adults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Mature Adults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Mature Adults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Mature Adults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Adults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Adults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Mature Adults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Mature Adults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Adults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Adults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Adults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Mature Adults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Mature Adults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Mature Adults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Mature Adults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Mature Adults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Mature Adults 31-54</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Mature Adults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Adults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Mature Adults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Mature Adults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Adults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Adults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Mature Adults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Mature Adults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Mature Adults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Mature Adults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Mature Adults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Mature Adults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Mature Adults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Mature Adults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Adults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Mature Adults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Mature Adults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Mature Adults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55+",IF(L835&gt;=31,"Mature Adults 31-54",IF(L835&lt;31,"Adults 0-30","Invalid")))</f>
        <v>Mature Adults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Mature Adults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Mature Adults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Adults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Mature Adults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Mature Adults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Mature Adults 31-54</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Mature Adults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Mature Adults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Mature Adults 31-54</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Mature Adults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Adults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Mature Adults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Mature Adults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Mature Adults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Mature Adults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Mature Adults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Mature Adults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Adults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Mature Adults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Mature Adults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Mature Adults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Mature Adults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Mature Adults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Mature Adults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Mature Adults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Mature Adults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Mature Adults 31-54</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Mature Adults 31-54</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Mature Adults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Mature Adults 31-54</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Mature Adults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Mature Adults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Mature Adults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Mature Adults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Adults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Mature Adults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Mature Adults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Mature Adults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Mature Adults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Mature Adults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Mature Adults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Mature Adults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Mature Adults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Mature Adults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Mature Adults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Mature Adults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Mature Adults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Mature Adults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Mature Adults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55+",IF(L899&gt;=31,"Mature Adults 31-54",IF(L899&lt;31,"Adults 0-30","Invalid")))</f>
        <v>Adults 0-30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Mature Adults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Mature Adults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Mature Adults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Mature Adults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Mature Adults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Mature Adults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Mature Adults 31-54</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Mature Adults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Mature Adults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Mature Adults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Mature Adults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Mature Adults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Mature Adults 31-54</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Mature Adults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Mature Adults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Mature Adults 31-54</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Mature Adults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Mature Adults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Mature Adults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Mature Adults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Mature Adults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Mature Adults 31-54</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Mature Adults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Mature Adults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Mature Adults 31-54</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Mature Adults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Mature Adults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Adults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Adults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Mature Adults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Mature Adults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Adults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Mature Adults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Mature Adults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Mature Adults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Mature Adults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Mature Adults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Mature Adults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Mature Adults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Mature Adults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Mature Adults 31-54</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Mature Adults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Mature Adults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Mature Adults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Adults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Mature Adults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Mature Adults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Mature Adults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Adults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Mature Adults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Mature Adults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Mature Adults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55+",IF(L963&gt;=31,"Mature Adults 31-54",IF(L963&lt;31,"Adults 0-30","Invalid")))</f>
        <v>Old 55+</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Mature Adults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Mature Adults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Adults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Mature Adults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Mature Adults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Mature Adults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Mature Adults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Mature Adults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Mature Adults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Mature Adults 31-54</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Mature Adults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Mature Adults 31-54</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Mature Adults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Mature Adults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Mature Adults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Mature Adults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Mature Adults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Mature Adults 31-54</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Mature Adults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Adults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Mature Adults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Mature Adults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Mature Adults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Mature Adults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Mature Adults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Mature Adults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Mature Adults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Mature Adults 31-54</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Mature Adults 31-54</v>
      </c>
      <c r="N1001" t="s">
        <v>15</v>
      </c>
    </row>
  </sheetData>
  <autoFilter ref="A1:N1001" xr:uid="{AE874199-769F-4D22-98F6-D8416AB17F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D423-937B-405C-B928-C3618E008DC3}">
  <dimension ref="A1:N52"/>
  <sheetViews>
    <sheetView showGridLines="0" topLeftCell="A33" workbookViewId="0">
      <selection activeCell="P6" sqref="P6"/>
    </sheetView>
  </sheetViews>
  <sheetFormatPr defaultRowHeight="15" x14ac:dyDescent="0.25"/>
  <cols>
    <col min="1" max="1" width="22.85546875" bestFit="1" customWidth="1"/>
    <col min="2" max="2" width="16.28515625" bestFit="1" customWidth="1"/>
    <col min="3" max="3" width="17.5703125" customWidth="1"/>
    <col min="4" max="4" width="13.42578125" customWidth="1"/>
  </cols>
  <sheetData>
    <row r="1" spans="1:14" x14ac:dyDescent="0.25">
      <c r="A1" s="8" t="s">
        <v>51</v>
      </c>
      <c r="B1" s="9"/>
      <c r="C1" s="9"/>
      <c r="D1" s="9"/>
      <c r="E1" s="9"/>
      <c r="F1" s="9"/>
      <c r="G1" s="9"/>
      <c r="H1" s="9"/>
      <c r="I1" s="9"/>
      <c r="J1" s="9"/>
      <c r="K1" s="9"/>
      <c r="L1" s="9"/>
      <c r="M1" s="9"/>
      <c r="N1" s="9"/>
    </row>
    <row r="2" spans="1:14" x14ac:dyDescent="0.25">
      <c r="A2" s="9"/>
      <c r="B2" s="9"/>
      <c r="C2" s="9"/>
      <c r="D2" s="9"/>
      <c r="E2" s="9"/>
      <c r="F2" s="9"/>
      <c r="G2" s="9"/>
      <c r="H2" s="9"/>
      <c r="I2" s="9"/>
      <c r="J2" s="9"/>
      <c r="K2" s="9"/>
      <c r="L2" s="9"/>
      <c r="M2" s="9"/>
      <c r="N2" s="9"/>
    </row>
    <row r="3" spans="1:14" x14ac:dyDescent="0.25">
      <c r="A3" s="9"/>
      <c r="B3" s="9"/>
      <c r="C3" s="9"/>
      <c r="D3" s="9"/>
      <c r="E3" s="9"/>
      <c r="F3" s="9"/>
      <c r="G3" s="9"/>
      <c r="H3" s="9"/>
      <c r="I3" s="9"/>
      <c r="J3" s="9"/>
      <c r="K3" s="9"/>
      <c r="L3" s="9"/>
      <c r="M3" s="9"/>
      <c r="N3" s="9"/>
    </row>
    <row r="4" spans="1:14" x14ac:dyDescent="0.25">
      <c r="A4" s="9"/>
      <c r="B4" s="9"/>
      <c r="C4" s="9"/>
      <c r="D4" s="9"/>
      <c r="E4" s="9"/>
      <c r="F4" s="9"/>
      <c r="G4" s="9"/>
      <c r="H4" s="9"/>
      <c r="I4" s="9"/>
      <c r="J4" s="9"/>
      <c r="K4" s="9"/>
      <c r="L4" s="9"/>
      <c r="M4" s="9"/>
      <c r="N4" s="9"/>
    </row>
    <row r="5" spans="1:14" x14ac:dyDescent="0.25">
      <c r="A5" s="9"/>
      <c r="B5" s="9"/>
      <c r="C5" s="9"/>
      <c r="D5" s="9"/>
      <c r="E5" s="9"/>
      <c r="F5" s="9"/>
      <c r="G5" s="9"/>
      <c r="H5" s="9"/>
      <c r="I5" s="9"/>
      <c r="J5" s="9"/>
      <c r="K5" s="9"/>
      <c r="L5" s="9"/>
      <c r="M5" s="9"/>
      <c r="N5" s="9"/>
    </row>
    <row r="12" spans="1:14" x14ac:dyDescent="0.25">
      <c r="A12" s="5" t="s">
        <v>43</v>
      </c>
      <c r="B12" s="5" t="s">
        <v>44</v>
      </c>
    </row>
    <row r="13" spans="1:14" x14ac:dyDescent="0.25">
      <c r="A13" s="5" t="s">
        <v>41</v>
      </c>
      <c r="B13" t="s">
        <v>18</v>
      </c>
      <c r="C13" t="s">
        <v>15</v>
      </c>
      <c r="D13" t="s">
        <v>42</v>
      </c>
    </row>
    <row r="14" spans="1:14" x14ac:dyDescent="0.25">
      <c r="A14" s="6" t="s">
        <v>39</v>
      </c>
      <c r="B14" s="7">
        <v>53440</v>
      </c>
      <c r="C14" s="7">
        <v>55774.058577405856</v>
      </c>
      <c r="D14" s="7">
        <v>54580.777096114522</v>
      </c>
    </row>
    <row r="15" spans="1:14" x14ac:dyDescent="0.25">
      <c r="A15" s="6" t="s">
        <v>38</v>
      </c>
      <c r="B15" s="7">
        <v>56208.178438661707</v>
      </c>
      <c r="C15" s="7">
        <v>60123.966942148763</v>
      </c>
      <c r="D15" s="7">
        <v>58062.62230919765</v>
      </c>
    </row>
    <row r="16" spans="1:14" x14ac:dyDescent="0.25">
      <c r="A16" s="6" t="s">
        <v>42</v>
      </c>
      <c r="B16" s="7">
        <v>54874.759152215796</v>
      </c>
      <c r="C16" s="7">
        <v>57962.577962577961</v>
      </c>
      <c r="D16" s="7">
        <v>56360</v>
      </c>
    </row>
    <row r="29" spans="1:4" x14ac:dyDescent="0.25">
      <c r="A29" s="5" t="s">
        <v>45</v>
      </c>
      <c r="B29" s="5" t="s">
        <v>44</v>
      </c>
    </row>
    <row r="30" spans="1:4" x14ac:dyDescent="0.25">
      <c r="A30" s="5" t="s">
        <v>41</v>
      </c>
      <c r="B30" t="s">
        <v>18</v>
      </c>
      <c r="C30" t="s">
        <v>15</v>
      </c>
      <c r="D30" t="s">
        <v>42</v>
      </c>
    </row>
    <row r="31" spans="1:4" x14ac:dyDescent="0.25">
      <c r="A31" s="6" t="s">
        <v>16</v>
      </c>
      <c r="B31" s="4">
        <v>166</v>
      </c>
      <c r="C31" s="4">
        <v>200</v>
      </c>
      <c r="D31" s="4">
        <v>366</v>
      </c>
    </row>
    <row r="32" spans="1:4" x14ac:dyDescent="0.25">
      <c r="A32" s="6" t="s">
        <v>26</v>
      </c>
      <c r="B32" s="4">
        <v>92</v>
      </c>
      <c r="C32" s="4">
        <v>77</v>
      </c>
      <c r="D32" s="4">
        <v>169</v>
      </c>
    </row>
    <row r="33" spans="1:4" x14ac:dyDescent="0.25">
      <c r="A33" s="6" t="s">
        <v>22</v>
      </c>
      <c r="B33" s="4">
        <v>67</v>
      </c>
      <c r="C33" s="4">
        <v>95</v>
      </c>
      <c r="D33" s="4">
        <v>162</v>
      </c>
    </row>
    <row r="34" spans="1:4" x14ac:dyDescent="0.25">
      <c r="A34" s="6" t="s">
        <v>23</v>
      </c>
      <c r="B34" s="4">
        <v>116</v>
      </c>
      <c r="C34" s="4">
        <v>76</v>
      </c>
      <c r="D34" s="4">
        <v>192</v>
      </c>
    </row>
    <row r="35" spans="1:4" x14ac:dyDescent="0.25">
      <c r="A35" s="6" t="s">
        <v>46</v>
      </c>
      <c r="B35" s="4">
        <v>78</v>
      </c>
      <c r="C35" s="4">
        <v>33</v>
      </c>
      <c r="D35" s="4">
        <v>111</v>
      </c>
    </row>
    <row r="36" spans="1:4" x14ac:dyDescent="0.25">
      <c r="A36" s="6" t="s">
        <v>42</v>
      </c>
      <c r="B36" s="4">
        <v>519</v>
      </c>
      <c r="C36" s="4">
        <v>481</v>
      </c>
      <c r="D36" s="4">
        <v>1000</v>
      </c>
    </row>
    <row r="47" spans="1:4" x14ac:dyDescent="0.25">
      <c r="A47" s="5" t="s">
        <v>45</v>
      </c>
      <c r="B47" s="5" t="s">
        <v>44</v>
      </c>
    </row>
    <row r="48" spans="1:4" x14ac:dyDescent="0.25">
      <c r="A48" s="5" t="s">
        <v>41</v>
      </c>
      <c r="B48" t="s">
        <v>18</v>
      </c>
      <c r="C48" t="s">
        <v>15</v>
      </c>
      <c r="D48" t="s">
        <v>42</v>
      </c>
    </row>
    <row r="49" spans="1:4" x14ac:dyDescent="0.25">
      <c r="A49" s="6" t="s">
        <v>48</v>
      </c>
      <c r="B49" s="4">
        <v>71</v>
      </c>
      <c r="C49" s="4">
        <v>39</v>
      </c>
      <c r="D49" s="4">
        <v>110</v>
      </c>
    </row>
    <row r="50" spans="1:4" x14ac:dyDescent="0.25">
      <c r="A50" s="6" t="s">
        <v>47</v>
      </c>
      <c r="B50" s="4">
        <v>318</v>
      </c>
      <c r="C50" s="4">
        <v>383</v>
      </c>
      <c r="D50" s="4">
        <v>701</v>
      </c>
    </row>
    <row r="51" spans="1:4" x14ac:dyDescent="0.25">
      <c r="A51" s="6" t="s">
        <v>49</v>
      </c>
      <c r="B51" s="4">
        <v>130</v>
      </c>
      <c r="C51" s="4">
        <v>59</v>
      </c>
      <c r="D51" s="4">
        <v>189</v>
      </c>
    </row>
    <row r="52" spans="1:4" x14ac:dyDescent="0.25">
      <c r="A52" s="6" t="s">
        <v>42</v>
      </c>
      <c r="B52" s="4">
        <v>519</v>
      </c>
      <c r="C52" s="4">
        <v>481</v>
      </c>
      <c r="D52" s="4">
        <v>1000</v>
      </c>
    </row>
  </sheetData>
  <mergeCells count="1">
    <mergeCell ref="A1:N5"/>
  </mergeCell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E9AD-775D-434B-8C7D-38AED8A81BD4}">
  <dimension ref="A1:R6"/>
  <sheetViews>
    <sheetView showGridLines="0" tabSelected="1" topLeftCell="A17" workbookViewId="0">
      <selection sqref="A1:R6"/>
    </sheetView>
  </sheetViews>
  <sheetFormatPr defaultRowHeight="15" x14ac:dyDescent="0.25"/>
  <sheetData>
    <row r="1" spans="1:18" ht="15" customHeight="1" x14ac:dyDescent="0.25">
      <c r="A1" s="8" t="s">
        <v>50</v>
      </c>
      <c r="B1" s="8"/>
      <c r="C1" s="8"/>
      <c r="D1" s="8"/>
      <c r="E1" s="8"/>
      <c r="F1" s="8"/>
      <c r="G1" s="8"/>
      <c r="H1" s="8"/>
      <c r="I1" s="8"/>
      <c r="J1" s="8"/>
      <c r="K1" s="8"/>
      <c r="L1" s="8"/>
      <c r="M1" s="8"/>
      <c r="N1" s="8"/>
      <c r="O1" s="8"/>
      <c r="P1" s="8"/>
      <c r="Q1" s="8"/>
      <c r="R1" s="8"/>
    </row>
    <row r="2" spans="1:18" ht="15" customHeight="1" x14ac:dyDescent="0.25">
      <c r="A2" s="8"/>
      <c r="B2" s="8"/>
      <c r="C2" s="8"/>
      <c r="D2" s="8"/>
      <c r="E2" s="8"/>
      <c r="F2" s="8"/>
      <c r="G2" s="8"/>
      <c r="H2" s="8"/>
      <c r="I2" s="8"/>
      <c r="J2" s="8"/>
      <c r="K2" s="8"/>
      <c r="L2" s="8"/>
      <c r="M2" s="8"/>
      <c r="N2" s="8"/>
      <c r="O2" s="8"/>
      <c r="P2" s="8"/>
      <c r="Q2" s="8"/>
      <c r="R2" s="8"/>
    </row>
    <row r="3" spans="1:18" ht="15" customHeight="1" x14ac:dyDescent="0.25">
      <c r="A3" s="8"/>
      <c r="B3" s="8"/>
      <c r="C3" s="8"/>
      <c r="D3" s="8"/>
      <c r="E3" s="8"/>
      <c r="F3" s="8"/>
      <c r="G3" s="8"/>
      <c r="H3" s="8"/>
      <c r="I3" s="8"/>
      <c r="J3" s="8"/>
      <c r="K3" s="8"/>
      <c r="L3" s="8"/>
      <c r="M3" s="8"/>
      <c r="N3" s="8"/>
      <c r="O3" s="8"/>
      <c r="P3" s="8"/>
      <c r="Q3" s="8"/>
      <c r="R3" s="8"/>
    </row>
    <row r="4" spans="1:18" ht="15" customHeight="1" x14ac:dyDescent="0.25">
      <c r="A4" s="8"/>
      <c r="B4" s="8"/>
      <c r="C4" s="8"/>
      <c r="D4" s="8"/>
      <c r="E4" s="8"/>
      <c r="F4" s="8"/>
      <c r="G4" s="8"/>
      <c r="H4" s="8"/>
      <c r="I4" s="8"/>
      <c r="J4" s="8"/>
      <c r="K4" s="8"/>
      <c r="L4" s="8"/>
      <c r="M4" s="8"/>
      <c r="N4" s="8"/>
      <c r="O4" s="8"/>
      <c r="P4" s="8"/>
      <c r="Q4" s="8"/>
      <c r="R4" s="8"/>
    </row>
    <row r="5" spans="1:18" ht="15" customHeight="1" x14ac:dyDescent="0.25">
      <c r="A5" s="8"/>
      <c r="B5" s="8"/>
      <c r="C5" s="8"/>
      <c r="D5" s="8"/>
      <c r="E5" s="8"/>
      <c r="F5" s="8"/>
      <c r="G5" s="8"/>
      <c r="H5" s="8"/>
      <c r="I5" s="8"/>
      <c r="J5" s="8"/>
      <c r="K5" s="8"/>
      <c r="L5" s="8"/>
      <c r="M5" s="8"/>
      <c r="N5" s="8"/>
      <c r="O5" s="8"/>
      <c r="P5" s="8"/>
      <c r="Q5" s="8"/>
      <c r="R5" s="8"/>
    </row>
    <row r="6" spans="1:18" ht="15" customHeight="1" x14ac:dyDescent="0.2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2026-09-07T02:24:02Z</dcterms:modified>
</cp:coreProperties>
</file>