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heme/themeOverride1.xml" ContentType="application/vnd.openxmlformats-officedocument.themeOverrid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heme/themeOverride2.xml" ContentType="application/vnd.openxmlformats-officedocument.themeOverrid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heme/themeOverride3.xml" ContentType="application/vnd.openxmlformats-officedocument.themeOverrid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heme/themeOverride4.xml" ContentType="application/vnd.openxmlformats-officedocument.themeOverrid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730"/>
  <workbookPr hidePivotFieldList="1" defaultThemeVersion="166925"/>
  <mc:AlternateContent xmlns:mc="http://schemas.openxmlformats.org/markup-compatibility/2006">
    <mc:Choice Requires="x15">
      <x15ac:absPath xmlns:x15ac="http://schemas.microsoft.com/office/spreadsheetml/2010/11/ac" url="C:\Users\USER\Desktop\Data_Analysis\Sharones Projects\Excel\"/>
    </mc:Choice>
  </mc:AlternateContent>
  <xr:revisionPtr revIDLastSave="0" documentId="13_ncr:1_{6B35C432-E8DD-46F2-912C-45333AEBEE35}" xr6:coauthVersionLast="45" xr6:coauthVersionMax="45" xr10:uidLastSave="{00000000-0000-0000-0000-000000000000}"/>
  <bookViews>
    <workbookView xWindow="-120" yWindow="-120" windowWidth="20730" windowHeight="11160" xr2:uid="{03CEABDE-3C67-4836-9FDD-609F2D7E7F08}"/>
  </bookViews>
  <sheets>
    <sheet name="Loan Payment Data" sheetId="5" r:id="rId1"/>
    <sheet name="KPI Summary" sheetId="4" r:id="rId2"/>
    <sheet name=" Pivot Tables" sheetId="6" r:id="rId3"/>
    <sheet name="Dashaboard" sheetId="7" r:id="rId4"/>
  </sheets>
  <definedNames>
    <definedName name="_xlnm._FilterDatabase" localSheetId="0" hidden="1">'Loan Payment Data'!$D$1:$D$501</definedName>
    <definedName name="Slicer_age_grouped">#N/A</definedName>
    <definedName name="Slicer_education">#N/A</definedName>
    <definedName name="Slicer_gender">#N/A</definedName>
    <definedName name="Slicer_loan_status">#N/A</definedName>
  </definedNames>
  <calcPr calcId="18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B4" i="4" l="1"/>
  <c r="B5" i="4"/>
  <c r="B6" i="4"/>
  <c r="B7" i="4"/>
  <c r="B8" i="4"/>
  <c r="B9" i="4"/>
  <c r="J3" i="5"/>
  <c r="J4" i="5"/>
  <c r="J5" i="5"/>
  <c r="J6" i="5"/>
  <c r="J7" i="5"/>
  <c r="J8" i="5"/>
  <c r="J9" i="5"/>
  <c r="J10" i="5"/>
  <c r="J11" i="5"/>
  <c r="J12" i="5"/>
  <c r="J13" i="5"/>
  <c r="J14" i="5"/>
  <c r="J15" i="5"/>
  <c r="J16" i="5"/>
  <c r="J17" i="5"/>
  <c r="J18" i="5"/>
  <c r="J19" i="5"/>
  <c r="J20" i="5"/>
  <c r="J21" i="5"/>
  <c r="J22" i="5"/>
  <c r="J23" i="5"/>
  <c r="J24" i="5"/>
  <c r="J25" i="5"/>
  <c r="J26" i="5"/>
  <c r="J27" i="5"/>
  <c r="J28" i="5"/>
  <c r="J29" i="5"/>
  <c r="J30" i="5"/>
  <c r="J31" i="5"/>
  <c r="J32" i="5"/>
  <c r="J33" i="5"/>
  <c r="J34" i="5"/>
  <c r="J35" i="5"/>
  <c r="J36" i="5"/>
  <c r="J37" i="5"/>
  <c r="J38" i="5"/>
  <c r="J39" i="5"/>
  <c r="J40" i="5"/>
  <c r="J41" i="5"/>
  <c r="J42" i="5"/>
  <c r="J43" i="5"/>
  <c r="J44" i="5"/>
  <c r="J45" i="5"/>
  <c r="J46" i="5"/>
  <c r="J47" i="5"/>
  <c r="J48" i="5"/>
  <c r="J49" i="5"/>
  <c r="J50" i="5"/>
  <c r="J51" i="5"/>
  <c r="J52" i="5"/>
  <c r="J53" i="5"/>
  <c r="J54" i="5"/>
  <c r="J55" i="5"/>
  <c r="J56" i="5"/>
  <c r="J57" i="5"/>
  <c r="J58" i="5"/>
  <c r="J59" i="5"/>
  <c r="J60" i="5"/>
  <c r="J61" i="5"/>
  <c r="J62" i="5"/>
  <c r="J63" i="5"/>
  <c r="J64" i="5"/>
  <c r="J65" i="5"/>
  <c r="J66" i="5"/>
  <c r="J67" i="5"/>
  <c r="J68" i="5"/>
  <c r="J69" i="5"/>
  <c r="J70" i="5"/>
  <c r="J71" i="5"/>
  <c r="J72" i="5"/>
  <c r="J73" i="5"/>
  <c r="J74" i="5"/>
  <c r="J75" i="5"/>
  <c r="J76" i="5"/>
  <c r="J77" i="5"/>
  <c r="J78" i="5"/>
  <c r="J79" i="5"/>
  <c r="J80" i="5"/>
  <c r="J81" i="5"/>
  <c r="J82" i="5"/>
  <c r="J83" i="5"/>
  <c r="J84" i="5"/>
  <c r="J85" i="5"/>
  <c r="J86" i="5"/>
  <c r="J87" i="5"/>
  <c r="J88" i="5"/>
  <c r="J89" i="5"/>
  <c r="J90" i="5"/>
  <c r="J91" i="5"/>
  <c r="J92" i="5"/>
  <c r="J93" i="5"/>
  <c r="J94" i="5"/>
  <c r="J95" i="5"/>
  <c r="J96" i="5"/>
  <c r="J97" i="5"/>
  <c r="J98" i="5"/>
  <c r="J99" i="5"/>
  <c r="J100" i="5"/>
  <c r="J101" i="5"/>
  <c r="J102" i="5"/>
  <c r="J103" i="5"/>
  <c r="J104" i="5"/>
  <c r="J105" i="5"/>
  <c r="J106" i="5"/>
  <c r="J107" i="5"/>
  <c r="J108" i="5"/>
  <c r="J109" i="5"/>
  <c r="J110" i="5"/>
  <c r="J111" i="5"/>
  <c r="J112" i="5"/>
  <c r="J113" i="5"/>
  <c r="J114" i="5"/>
  <c r="J115" i="5"/>
  <c r="J116" i="5"/>
  <c r="J117" i="5"/>
  <c r="J118" i="5"/>
  <c r="J119" i="5"/>
  <c r="J120" i="5"/>
  <c r="J121" i="5"/>
  <c r="J122" i="5"/>
  <c r="J123" i="5"/>
  <c r="J124" i="5"/>
  <c r="J125" i="5"/>
  <c r="J126" i="5"/>
  <c r="J127" i="5"/>
  <c r="J128" i="5"/>
  <c r="J129" i="5"/>
  <c r="J130" i="5"/>
  <c r="J131" i="5"/>
  <c r="J132" i="5"/>
  <c r="J133" i="5"/>
  <c r="J134" i="5"/>
  <c r="J135" i="5"/>
  <c r="J136" i="5"/>
  <c r="J137" i="5"/>
  <c r="J138" i="5"/>
  <c r="J139" i="5"/>
  <c r="J140" i="5"/>
  <c r="J141" i="5"/>
  <c r="J142" i="5"/>
  <c r="J143" i="5"/>
  <c r="J144" i="5"/>
  <c r="J145" i="5"/>
  <c r="J146" i="5"/>
  <c r="J147" i="5"/>
  <c r="J148" i="5"/>
  <c r="J149" i="5"/>
  <c r="J150" i="5"/>
  <c r="J151" i="5"/>
  <c r="J152" i="5"/>
  <c r="J153" i="5"/>
  <c r="J154" i="5"/>
  <c r="J155" i="5"/>
  <c r="J156" i="5"/>
  <c r="J157" i="5"/>
  <c r="J158" i="5"/>
  <c r="J159" i="5"/>
  <c r="J160" i="5"/>
  <c r="J161" i="5"/>
  <c r="J162" i="5"/>
  <c r="J163" i="5"/>
  <c r="J164" i="5"/>
  <c r="J165" i="5"/>
  <c r="J166" i="5"/>
  <c r="J167" i="5"/>
  <c r="J168" i="5"/>
  <c r="J169" i="5"/>
  <c r="J170" i="5"/>
  <c r="J171" i="5"/>
  <c r="J172" i="5"/>
  <c r="J173" i="5"/>
  <c r="J174" i="5"/>
  <c r="J175" i="5"/>
  <c r="J176" i="5"/>
  <c r="J177" i="5"/>
  <c r="J178" i="5"/>
  <c r="J179" i="5"/>
  <c r="J180" i="5"/>
  <c r="J181" i="5"/>
  <c r="J182" i="5"/>
  <c r="J183" i="5"/>
  <c r="J184" i="5"/>
  <c r="J185" i="5"/>
  <c r="J186" i="5"/>
  <c r="J187" i="5"/>
  <c r="J188" i="5"/>
  <c r="J189" i="5"/>
  <c r="J190" i="5"/>
  <c r="J191" i="5"/>
  <c r="J192" i="5"/>
  <c r="J193" i="5"/>
  <c r="J194" i="5"/>
  <c r="J195" i="5"/>
  <c r="J196" i="5"/>
  <c r="J197" i="5"/>
  <c r="J198" i="5"/>
  <c r="J199" i="5"/>
  <c r="J200" i="5"/>
  <c r="J201" i="5"/>
  <c r="J202" i="5"/>
  <c r="J203" i="5"/>
  <c r="J204" i="5"/>
  <c r="J205" i="5"/>
  <c r="J206" i="5"/>
  <c r="J207" i="5"/>
  <c r="J208" i="5"/>
  <c r="J209" i="5"/>
  <c r="J210" i="5"/>
  <c r="J211" i="5"/>
  <c r="J212" i="5"/>
  <c r="J213" i="5"/>
  <c r="J214" i="5"/>
  <c r="J215" i="5"/>
  <c r="J216" i="5"/>
  <c r="J217" i="5"/>
  <c r="J218" i="5"/>
  <c r="J219" i="5"/>
  <c r="J220" i="5"/>
  <c r="J221" i="5"/>
  <c r="J222" i="5"/>
  <c r="J223" i="5"/>
  <c r="J224" i="5"/>
  <c r="J225" i="5"/>
  <c r="J226" i="5"/>
  <c r="J227" i="5"/>
  <c r="J228" i="5"/>
  <c r="J229" i="5"/>
  <c r="J230" i="5"/>
  <c r="J231" i="5"/>
  <c r="J232" i="5"/>
  <c r="J233" i="5"/>
  <c r="J234" i="5"/>
  <c r="J235" i="5"/>
  <c r="J236" i="5"/>
  <c r="J237" i="5"/>
  <c r="J238" i="5"/>
  <c r="J239" i="5"/>
  <c r="J240" i="5"/>
  <c r="J241" i="5"/>
  <c r="J242" i="5"/>
  <c r="J243" i="5"/>
  <c r="J244" i="5"/>
  <c r="J245" i="5"/>
  <c r="J246" i="5"/>
  <c r="J247" i="5"/>
  <c r="J248" i="5"/>
  <c r="J249" i="5"/>
  <c r="J250" i="5"/>
  <c r="J251" i="5"/>
  <c r="J252" i="5"/>
  <c r="J253" i="5"/>
  <c r="J254" i="5"/>
  <c r="J255" i="5"/>
  <c r="J256" i="5"/>
  <c r="J257" i="5"/>
  <c r="J258" i="5"/>
  <c r="J259" i="5"/>
  <c r="J260" i="5"/>
  <c r="J261" i="5"/>
  <c r="J262" i="5"/>
  <c r="J263" i="5"/>
  <c r="J264" i="5"/>
  <c r="J265" i="5"/>
  <c r="J266" i="5"/>
  <c r="J267" i="5"/>
  <c r="J268" i="5"/>
  <c r="J269" i="5"/>
  <c r="J270" i="5"/>
  <c r="J271" i="5"/>
  <c r="J272" i="5"/>
  <c r="J273" i="5"/>
  <c r="J274" i="5"/>
  <c r="J275" i="5"/>
  <c r="J276" i="5"/>
  <c r="J277" i="5"/>
  <c r="J278" i="5"/>
  <c r="J279" i="5"/>
  <c r="J280" i="5"/>
  <c r="J281" i="5"/>
  <c r="J282" i="5"/>
  <c r="J283" i="5"/>
  <c r="J284" i="5"/>
  <c r="J285" i="5"/>
  <c r="J286" i="5"/>
  <c r="J287" i="5"/>
  <c r="J288" i="5"/>
  <c r="J289" i="5"/>
  <c r="J290" i="5"/>
  <c r="J291" i="5"/>
  <c r="J292" i="5"/>
  <c r="J293" i="5"/>
  <c r="J294" i="5"/>
  <c r="J295" i="5"/>
  <c r="J296" i="5"/>
  <c r="J297" i="5"/>
  <c r="J298" i="5"/>
  <c r="J299" i="5"/>
  <c r="J300" i="5"/>
  <c r="J301" i="5"/>
  <c r="J302" i="5"/>
  <c r="J303" i="5"/>
  <c r="J304" i="5"/>
  <c r="J305" i="5"/>
  <c r="J306" i="5"/>
  <c r="J307" i="5"/>
  <c r="J308" i="5"/>
  <c r="J309" i="5"/>
  <c r="J310" i="5"/>
  <c r="J311" i="5"/>
  <c r="J312" i="5"/>
  <c r="J313" i="5"/>
  <c r="J314" i="5"/>
  <c r="J315" i="5"/>
  <c r="J316" i="5"/>
  <c r="J317" i="5"/>
  <c r="J318" i="5"/>
  <c r="J319" i="5"/>
  <c r="J320" i="5"/>
  <c r="J321" i="5"/>
  <c r="J322" i="5"/>
  <c r="J323" i="5"/>
  <c r="J324" i="5"/>
  <c r="J325" i="5"/>
  <c r="J326" i="5"/>
  <c r="J327" i="5"/>
  <c r="J328" i="5"/>
  <c r="J329" i="5"/>
  <c r="J330" i="5"/>
  <c r="J331" i="5"/>
  <c r="J332" i="5"/>
  <c r="J333" i="5"/>
  <c r="J334" i="5"/>
  <c r="J335" i="5"/>
  <c r="J336" i="5"/>
  <c r="J337" i="5"/>
  <c r="J338" i="5"/>
  <c r="J339" i="5"/>
  <c r="J340" i="5"/>
  <c r="J341" i="5"/>
  <c r="J342" i="5"/>
  <c r="J343" i="5"/>
  <c r="J344" i="5"/>
  <c r="J345" i="5"/>
  <c r="J346" i="5"/>
  <c r="J347" i="5"/>
  <c r="J348" i="5"/>
  <c r="J349" i="5"/>
  <c r="J350" i="5"/>
  <c r="J351" i="5"/>
  <c r="J352" i="5"/>
  <c r="J353" i="5"/>
  <c r="J354" i="5"/>
  <c r="J355" i="5"/>
  <c r="J356" i="5"/>
  <c r="J357" i="5"/>
  <c r="J358" i="5"/>
  <c r="J359" i="5"/>
  <c r="J360" i="5"/>
  <c r="J361" i="5"/>
  <c r="J362" i="5"/>
  <c r="J363" i="5"/>
  <c r="J364" i="5"/>
  <c r="J365" i="5"/>
  <c r="J366" i="5"/>
  <c r="J367" i="5"/>
  <c r="J368" i="5"/>
  <c r="J369" i="5"/>
  <c r="J370" i="5"/>
  <c r="J371" i="5"/>
  <c r="J372" i="5"/>
  <c r="J373" i="5"/>
  <c r="J374" i="5"/>
  <c r="J375" i="5"/>
  <c r="J376" i="5"/>
  <c r="J377" i="5"/>
  <c r="J378" i="5"/>
  <c r="J379" i="5"/>
  <c r="J380" i="5"/>
  <c r="J381" i="5"/>
  <c r="J382" i="5"/>
  <c r="J383" i="5"/>
  <c r="J384" i="5"/>
  <c r="J385" i="5"/>
  <c r="J386" i="5"/>
  <c r="J387" i="5"/>
  <c r="J388" i="5"/>
  <c r="J389" i="5"/>
  <c r="J390" i="5"/>
  <c r="J391" i="5"/>
  <c r="J392" i="5"/>
  <c r="J393" i="5"/>
  <c r="J394" i="5"/>
  <c r="J395" i="5"/>
  <c r="J396" i="5"/>
  <c r="J397" i="5"/>
  <c r="J398" i="5"/>
  <c r="J399" i="5"/>
  <c r="J400" i="5"/>
  <c r="J401" i="5"/>
  <c r="J402" i="5"/>
  <c r="J403" i="5"/>
  <c r="J404" i="5"/>
  <c r="J405" i="5"/>
  <c r="J406" i="5"/>
  <c r="J407" i="5"/>
  <c r="J408" i="5"/>
  <c r="J409" i="5"/>
  <c r="J410" i="5"/>
  <c r="J411" i="5"/>
  <c r="J412" i="5"/>
  <c r="J413" i="5"/>
  <c r="J414" i="5"/>
  <c r="J415" i="5"/>
  <c r="J416" i="5"/>
  <c r="J417" i="5"/>
  <c r="J418" i="5"/>
  <c r="J419" i="5"/>
  <c r="J420" i="5"/>
  <c r="J421" i="5"/>
  <c r="J422" i="5"/>
  <c r="J423" i="5"/>
  <c r="J424" i="5"/>
  <c r="J425" i="5"/>
  <c r="J426" i="5"/>
  <c r="J427" i="5"/>
  <c r="J428" i="5"/>
  <c r="J429" i="5"/>
  <c r="J430" i="5"/>
  <c r="J431" i="5"/>
  <c r="J432" i="5"/>
  <c r="J433" i="5"/>
  <c r="J434" i="5"/>
  <c r="J435" i="5"/>
  <c r="J436" i="5"/>
  <c r="J437" i="5"/>
  <c r="J438" i="5"/>
  <c r="J439" i="5"/>
  <c r="J440" i="5"/>
  <c r="J441" i="5"/>
  <c r="J442" i="5"/>
  <c r="J443" i="5"/>
  <c r="J444" i="5"/>
  <c r="J445" i="5"/>
  <c r="J446" i="5"/>
  <c r="J447" i="5"/>
  <c r="J448" i="5"/>
  <c r="J449" i="5"/>
  <c r="J450" i="5"/>
  <c r="J451" i="5"/>
  <c r="J452" i="5"/>
  <c r="J453" i="5"/>
  <c r="J454" i="5"/>
  <c r="J455" i="5"/>
  <c r="J456" i="5"/>
  <c r="J457" i="5"/>
  <c r="J458" i="5"/>
  <c r="J459" i="5"/>
  <c r="J460" i="5"/>
  <c r="J461" i="5"/>
  <c r="J462" i="5"/>
  <c r="J463" i="5"/>
  <c r="J464" i="5"/>
  <c r="J465" i="5"/>
  <c r="J466" i="5"/>
  <c r="J467" i="5"/>
  <c r="J468" i="5"/>
  <c r="J469" i="5"/>
  <c r="J470" i="5"/>
  <c r="J471" i="5"/>
  <c r="J472" i="5"/>
  <c r="J473" i="5"/>
  <c r="J474" i="5"/>
  <c r="J475" i="5"/>
  <c r="J476" i="5"/>
  <c r="J477" i="5"/>
  <c r="J478" i="5"/>
  <c r="J479" i="5"/>
  <c r="J480" i="5"/>
  <c r="J481" i="5"/>
  <c r="J482" i="5"/>
  <c r="J483" i="5"/>
  <c r="J484" i="5"/>
  <c r="J485" i="5"/>
  <c r="J486" i="5"/>
  <c r="J487" i="5"/>
  <c r="J488" i="5"/>
  <c r="J489" i="5"/>
  <c r="J490" i="5"/>
  <c r="J491" i="5"/>
  <c r="J492" i="5"/>
  <c r="J493" i="5"/>
  <c r="J494" i="5"/>
  <c r="J495" i="5"/>
  <c r="J496" i="5"/>
  <c r="J497" i="5"/>
  <c r="J498" i="5"/>
  <c r="J499" i="5"/>
  <c r="J500" i="5"/>
  <c r="J501" i="5"/>
  <c r="J2" i="5"/>
  <c r="O3" i="5"/>
  <c r="O4" i="5"/>
  <c r="O5" i="5"/>
  <c r="O6" i="5"/>
  <c r="O7" i="5"/>
  <c r="O8" i="5"/>
  <c r="O9" i="5"/>
  <c r="O10" i="5"/>
  <c r="O11" i="5"/>
  <c r="O12" i="5"/>
  <c r="O13" i="5"/>
  <c r="O14" i="5"/>
  <c r="O15" i="5"/>
  <c r="O16" i="5"/>
  <c r="O17" i="5"/>
  <c r="O18" i="5"/>
  <c r="O19" i="5"/>
  <c r="O20" i="5"/>
  <c r="O21" i="5"/>
  <c r="O22" i="5"/>
  <c r="O23" i="5"/>
  <c r="O24" i="5"/>
  <c r="O25" i="5"/>
  <c r="O26" i="5"/>
  <c r="O27" i="5"/>
  <c r="O28" i="5"/>
  <c r="O29" i="5"/>
  <c r="O30" i="5"/>
  <c r="O31" i="5"/>
  <c r="O32" i="5"/>
  <c r="O33" i="5"/>
  <c r="O34" i="5"/>
  <c r="O35" i="5"/>
  <c r="O36" i="5"/>
  <c r="O37" i="5"/>
  <c r="O38" i="5"/>
  <c r="O39" i="5"/>
  <c r="O40" i="5"/>
  <c r="O41" i="5"/>
  <c r="O42" i="5"/>
  <c r="O43" i="5"/>
  <c r="O44" i="5"/>
  <c r="O45" i="5"/>
  <c r="O46" i="5"/>
  <c r="O47" i="5"/>
  <c r="O48" i="5"/>
  <c r="O49" i="5"/>
  <c r="O50" i="5"/>
  <c r="O51" i="5"/>
  <c r="O52" i="5"/>
  <c r="O53" i="5"/>
  <c r="O54" i="5"/>
  <c r="O55" i="5"/>
  <c r="O56" i="5"/>
  <c r="O57" i="5"/>
  <c r="O58" i="5"/>
  <c r="O59" i="5"/>
  <c r="O60" i="5"/>
  <c r="O61" i="5"/>
  <c r="O62" i="5"/>
  <c r="O63" i="5"/>
  <c r="O64" i="5"/>
  <c r="O65" i="5"/>
  <c r="O66" i="5"/>
  <c r="O67" i="5"/>
  <c r="O68" i="5"/>
  <c r="O69" i="5"/>
  <c r="O70" i="5"/>
  <c r="O71" i="5"/>
  <c r="O72" i="5"/>
  <c r="O73" i="5"/>
  <c r="O74" i="5"/>
  <c r="O75" i="5"/>
  <c r="O76" i="5"/>
  <c r="O77" i="5"/>
  <c r="O78" i="5"/>
  <c r="O79" i="5"/>
  <c r="O80" i="5"/>
  <c r="O81" i="5"/>
  <c r="O82" i="5"/>
  <c r="O83" i="5"/>
  <c r="O84" i="5"/>
  <c r="O85" i="5"/>
  <c r="O86" i="5"/>
  <c r="O87" i="5"/>
  <c r="O88" i="5"/>
  <c r="O89" i="5"/>
  <c r="O90" i="5"/>
  <c r="O91" i="5"/>
  <c r="O92" i="5"/>
  <c r="O93" i="5"/>
  <c r="O94" i="5"/>
  <c r="O95" i="5"/>
  <c r="O96" i="5"/>
  <c r="O97" i="5"/>
  <c r="O98" i="5"/>
  <c r="O99" i="5"/>
  <c r="O100" i="5"/>
  <c r="O101" i="5"/>
  <c r="O102" i="5"/>
  <c r="O103" i="5"/>
  <c r="O104" i="5"/>
  <c r="O105" i="5"/>
  <c r="O106" i="5"/>
  <c r="O107" i="5"/>
  <c r="O108" i="5"/>
  <c r="O109" i="5"/>
  <c r="O110" i="5"/>
  <c r="O111" i="5"/>
  <c r="O112" i="5"/>
  <c r="O113" i="5"/>
  <c r="O114" i="5"/>
  <c r="O115" i="5"/>
  <c r="O116" i="5"/>
  <c r="O117" i="5"/>
  <c r="O118" i="5"/>
  <c r="O119" i="5"/>
  <c r="O120" i="5"/>
  <c r="O121" i="5"/>
  <c r="O122" i="5"/>
  <c r="O123" i="5"/>
  <c r="O124" i="5"/>
  <c r="O125" i="5"/>
  <c r="O126" i="5"/>
  <c r="O127" i="5"/>
  <c r="O128" i="5"/>
  <c r="O129" i="5"/>
  <c r="O130" i="5"/>
  <c r="O131" i="5"/>
  <c r="O132" i="5"/>
  <c r="O133" i="5"/>
  <c r="O134" i="5"/>
  <c r="O135" i="5"/>
  <c r="O136" i="5"/>
  <c r="O137" i="5"/>
  <c r="O138" i="5"/>
  <c r="O139" i="5"/>
  <c r="O140" i="5"/>
  <c r="O141" i="5"/>
  <c r="O142" i="5"/>
  <c r="O143" i="5"/>
  <c r="O144" i="5"/>
  <c r="O145" i="5"/>
  <c r="O146" i="5"/>
  <c r="O147" i="5"/>
  <c r="O148" i="5"/>
  <c r="O149" i="5"/>
  <c r="O150" i="5"/>
  <c r="O151" i="5"/>
  <c r="O152" i="5"/>
  <c r="O153" i="5"/>
  <c r="O154" i="5"/>
  <c r="O155" i="5"/>
  <c r="O156" i="5"/>
  <c r="O157" i="5"/>
  <c r="O158" i="5"/>
  <c r="O159" i="5"/>
  <c r="O160" i="5"/>
  <c r="O161" i="5"/>
  <c r="O162" i="5"/>
  <c r="O163" i="5"/>
  <c r="O164" i="5"/>
  <c r="O165" i="5"/>
  <c r="O166" i="5"/>
  <c r="O167" i="5"/>
  <c r="O168" i="5"/>
  <c r="O169" i="5"/>
  <c r="O170" i="5"/>
  <c r="O171" i="5"/>
  <c r="O172" i="5"/>
  <c r="O173" i="5"/>
  <c r="O174" i="5"/>
  <c r="O175" i="5"/>
  <c r="O176" i="5"/>
  <c r="O177" i="5"/>
  <c r="O178" i="5"/>
  <c r="O179" i="5"/>
  <c r="O180" i="5"/>
  <c r="O181" i="5"/>
  <c r="O182" i="5"/>
  <c r="O183" i="5"/>
  <c r="O184" i="5"/>
  <c r="O185" i="5"/>
  <c r="O186" i="5"/>
  <c r="O187" i="5"/>
  <c r="O188" i="5"/>
  <c r="O189" i="5"/>
  <c r="O190" i="5"/>
  <c r="O191" i="5"/>
  <c r="O192" i="5"/>
  <c r="O193" i="5"/>
  <c r="O194" i="5"/>
  <c r="O195" i="5"/>
  <c r="O196" i="5"/>
  <c r="O197" i="5"/>
  <c r="O198" i="5"/>
  <c r="O199" i="5"/>
  <c r="O200" i="5"/>
  <c r="O201" i="5"/>
  <c r="O202" i="5"/>
  <c r="O203" i="5"/>
  <c r="O204" i="5"/>
  <c r="O205" i="5"/>
  <c r="O206" i="5"/>
  <c r="O207" i="5"/>
  <c r="O208" i="5"/>
  <c r="O209" i="5"/>
  <c r="O210" i="5"/>
  <c r="O211" i="5"/>
  <c r="O212" i="5"/>
  <c r="O213" i="5"/>
  <c r="O214" i="5"/>
  <c r="O215" i="5"/>
  <c r="O216" i="5"/>
  <c r="O217" i="5"/>
  <c r="O218" i="5"/>
  <c r="O219" i="5"/>
  <c r="O220" i="5"/>
  <c r="O221" i="5"/>
  <c r="O222" i="5"/>
  <c r="O223" i="5"/>
  <c r="O224" i="5"/>
  <c r="O225" i="5"/>
  <c r="O226" i="5"/>
  <c r="O227" i="5"/>
  <c r="O228" i="5"/>
  <c r="O229" i="5"/>
  <c r="O230" i="5"/>
  <c r="O231" i="5"/>
  <c r="O232" i="5"/>
  <c r="O233" i="5"/>
  <c r="O234" i="5"/>
  <c r="O235" i="5"/>
  <c r="O236" i="5"/>
  <c r="O237" i="5"/>
  <c r="O238" i="5"/>
  <c r="O239" i="5"/>
  <c r="O240" i="5"/>
  <c r="O241" i="5"/>
  <c r="O242" i="5"/>
  <c r="O243" i="5"/>
  <c r="O244" i="5"/>
  <c r="O245" i="5"/>
  <c r="O246" i="5"/>
  <c r="O247" i="5"/>
  <c r="O248" i="5"/>
  <c r="O249" i="5"/>
  <c r="O250" i="5"/>
  <c r="O251" i="5"/>
  <c r="O252" i="5"/>
  <c r="O253" i="5"/>
  <c r="O254" i="5"/>
  <c r="O255" i="5"/>
  <c r="O256" i="5"/>
  <c r="O257" i="5"/>
  <c r="O258" i="5"/>
  <c r="O259" i="5"/>
  <c r="O260" i="5"/>
  <c r="O261" i="5"/>
  <c r="O262" i="5"/>
  <c r="O263" i="5"/>
  <c r="O264" i="5"/>
  <c r="O265" i="5"/>
  <c r="O266" i="5"/>
  <c r="O267" i="5"/>
  <c r="O268" i="5"/>
  <c r="O269" i="5"/>
  <c r="O270" i="5"/>
  <c r="O271" i="5"/>
  <c r="O272" i="5"/>
  <c r="O273" i="5"/>
  <c r="O274" i="5"/>
  <c r="O275" i="5"/>
  <c r="O276" i="5"/>
  <c r="O277" i="5"/>
  <c r="O278" i="5"/>
  <c r="O279" i="5"/>
  <c r="O280" i="5"/>
  <c r="O281" i="5"/>
  <c r="O282" i="5"/>
  <c r="O283" i="5"/>
  <c r="O284" i="5"/>
  <c r="O285" i="5"/>
  <c r="O286" i="5"/>
  <c r="O287" i="5"/>
  <c r="O288" i="5"/>
  <c r="O289" i="5"/>
  <c r="O290" i="5"/>
  <c r="O291" i="5"/>
  <c r="O292" i="5"/>
  <c r="O293" i="5"/>
  <c r="O294" i="5"/>
  <c r="O295" i="5"/>
  <c r="O296" i="5"/>
  <c r="O297" i="5"/>
  <c r="O298" i="5"/>
  <c r="O299" i="5"/>
  <c r="O300" i="5"/>
  <c r="O301" i="5"/>
  <c r="O302" i="5"/>
  <c r="O303" i="5"/>
  <c r="O304" i="5"/>
  <c r="O305" i="5"/>
  <c r="O306" i="5"/>
  <c r="O307" i="5"/>
  <c r="O308" i="5"/>
  <c r="O309" i="5"/>
  <c r="O310" i="5"/>
  <c r="O311" i="5"/>
  <c r="O312" i="5"/>
  <c r="O313" i="5"/>
  <c r="O314" i="5"/>
  <c r="O315" i="5"/>
  <c r="O316" i="5"/>
  <c r="O317" i="5"/>
  <c r="O318" i="5"/>
  <c r="O319" i="5"/>
  <c r="O320" i="5"/>
  <c r="O321" i="5"/>
  <c r="O322" i="5"/>
  <c r="O323" i="5"/>
  <c r="O324" i="5"/>
  <c r="O325" i="5"/>
  <c r="O326" i="5"/>
  <c r="O327" i="5"/>
  <c r="O328" i="5"/>
  <c r="O329" i="5"/>
  <c r="O330" i="5"/>
  <c r="O331" i="5"/>
  <c r="O332" i="5"/>
  <c r="O333" i="5"/>
  <c r="O334" i="5"/>
  <c r="O335" i="5"/>
  <c r="O336" i="5"/>
  <c r="O337" i="5"/>
  <c r="O338" i="5"/>
  <c r="O339" i="5"/>
  <c r="O340" i="5"/>
  <c r="O341" i="5"/>
  <c r="O342" i="5"/>
  <c r="O343" i="5"/>
  <c r="O344" i="5"/>
  <c r="O345" i="5"/>
  <c r="O346" i="5"/>
  <c r="O347" i="5"/>
  <c r="O348" i="5"/>
  <c r="O349" i="5"/>
  <c r="O350" i="5"/>
  <c r="O351" i="5"/>
  <c r="O352" i="5"/>
  <c r="O353" i="5"/>
  <c r="O354" i="5"/>
  <c r="O355" i="5"/>
  <c r="O356" i="5"/>
  <c r="O357" i="5"/>
  <c r="O358" i="5"/>
  <c r="O359" i="5"/>
  <c r="O360" i="5"/>
  <c r="O361" i="5"/>
  <c r="O362" i="5"/>
  <c r="O363" i="5"/>
  <c r="O364" i="5"/>
  <c r="O365" i="5"/>
  <c r="O366" i="5"/>
  <c r="O367" i="5"/>
  <c r="O368" i="5"/>
  <c r="O369" i="5"/>
  <c r="O370" i="5"/>
  <c r="O371" i="5"/>
  <c r="O372" i="5"/>
  <c r="O373" i="5"/>
  <c r="O374" i="5"/>
  <c r="O375" i="5"/>
  <c r="O376" i="5"/>
  <c r="O377" i="5"/>
  <c r="O378" i="5"/>
  <c r="O379" i="5"/>
  <c r="O380" i="5"/>
  <c r="O381" i="5"/>
  <c r="O382" i="5"/>
  <c r="O383" i="5"/>
  <c r="O384" i="5"/>
  <c r="O385" i="5"/>
  <c r="O386" i="5"/>
  <c r="O387" i="5"/>
  <c r="O388" i="5"/>
  <c r="O389" i="5"/>
  <c r="O390" i="5"/>
  <c r="O391" i="5"/>
  <c r="O392" i="5"/>
  <c r="O393" i="5"/>
  <c r="O394" i="5"/>
  <c r="O395" i="5"/>
  <c r="O396" i="5"/>
  <c r="O397" i="5"/>
  <c r="O398" i="5"/>
  <c r="O399" i="5"/>
  <c r="O400" i="5"/>
  <c r="O401" i="5"/>
  <c r="O402" i="5"/>
  <c r="O403" i="5"/>
  <c r="O404" i="5"/>
  <c r="O405" i="5"/>
  <c r="O406" i="5"/>
  <c r="O407" i="5"/>
  <c r="O408" i="5"/>
  <c r="O409" i="5"/>
  <c r="O410" i="5"/>
  <c r="O411" i="5"/>
  <c r="O412" i="5"/>
  <c r="O413" i="5"/>
  <c r="O414" i="5"/>
  <c r="O415" i="5"/>
  <c r="O416" i="5"/>
  <c r="O417" i="5"/>
  <c r="O418" i="5"/>
  <c r="O419" i="5"/>
  <c r="O420" i="5"/>
  <c r="O421" i="5"/>
  <c r="O422" i="5"/>
  <c r="O423" i="5"/>
  <c r="O424" i="5"/>
  <c r="O425" i="5"/>
  <c r="O426" i="5"/>
  <c r="O427" i="5"/>
  <c r="O428" i="5"/>
  <c r="O429" i="5"/>
  <c r="O430" i="5"/>
  <c r="O431" i="5"/>
  <c r="O432" i="5"/>
  <c r="O433" i="5"/>
  <c r="O434" i="5"/>
  <c r="O435" i="5"/>
  <c r="O436" i="5"/>
  <c r="O437" i="5"/>
  <c r="O438" i="5"/>
  <c r="O439" i="5"/>
  <c r="O440" i="5"/>
  <c r="O441" i="5"/>
  <c r="O442" i="5"/>
  <c r="O443" i="5"/>
  <c r="O444" i="5"/>
  <c r="O445" i="5"/>
  <c r="O446" i="5"/>
  <c r="O447" i="5"/>
  <c r="O448" i="5"/>
  <c r="O449" i="5"/>
  <c r="O450" i="5"/>
  <c r="O451" i="5"/>
  <c r="O452" i="5"/>
  <c r="O453" i="5"/>
  <c r="O454" i="5"/>
  <c r="O455" i="5"/>
  <c r="O456" i="5"/>
  <c r="O457" i="5"/>
  <c r="O458" i="5"/>
  <c r="O459" i="5"/>
  <c r="O460" i="5"/>
  <c r="O461" i="5"/>
  <c r="O462" i="5"/>
  <c r="O463" i="5"/>
  <c r="O464" i="5"/>
  <c r="O465" i="5"/>
  <c r="O466" i="5"/>
  <c r="O467" i="5"/>
  <c r="O468" i="5"/>
  <c r="O469" i="5"/>
  <c r="O470" i="5"/>
  <c r="O471" i="5"/>
  <c r="O472" i="5"/>
  <c r="O473" i="5"/>
  <c r="O474" i="5"/>
  <c r="O475" i="5"/>
  <c r="O476" i="5"/>
  <c r="O477" i="5"/>
  <c r="O478" i="5"/>
  <c r="O479" i="5"/>
  <c r="O480" i="5"/>
  <c r="O481" i="5"/>
  <c r="O482" i="5"/>
  <c r="O483" i="5"/>
  <c r="O484" i="5"/>
  <c r="O485" i="5"/>
  <c r="O486" i="5"/>
  <c r="O487" i="5"/>
  <c r="O488" i="5"/>
  <c r="O489" i="5"/>
  <c r="O490" i="5"/>
  <c r="O491" i="5"/>
  <c r="O492" i="5"/>
  <c r="O493" i="5"/>
  <c r="O494" i="5"/>
  <c r="O495" i="5"/>
  <c r="O496" i="5"/>
  <c r="O497" i="5"/>
  <c r="O498" i="5"/>
  <c r="O499" i="5"/>
  <c r="O500" i="5"/>
  <c r="O501" i="5"/>
  <c r="O2" i="5"/>
  <c r="Q3" i="5"/>
  <c r="Q4" i="5"/>
  <c r="Q5" i="5"/>
  <c r="Q6" i="5"/>
  <c r="Q7" i="5"/>
  <c r="Q8" i="5"/>
  <c r="Q9" i="5"/>
  <c r="Q10" i="5"/>
  <c r="Q11" i="5"/>
  <c r="Q12" i="5"/>
  <c r="Q13" i="5"/>
  <c r="Q14" i="5"/>
  <c r="Q15" i="5"/>
  <c r="Q16" i="5"/>
  <c r="Q17" i="5"/>
  <c r="Q18" i="5"/>
  <c r="Q19" i="5"/>
  <c r="Q20" i="5"/>
  <c r="Q21" i="5"/>
  <c r="Q22" i="5"/>
  <c r="Q23" i="5"/>
  <c r="Q24" i="5"/>
  <c r="Q25" i="5"/>
  <c r="Q26" i="5"/>
  <c r="Q27" i="5"/>
  <c r="Q28" i="5"/>
  <c r="Q29" i="5"/>
  <c r="Q30" i="5"/>
  <c r="Q31" i="5"/>
  <c r="Q32" i="5"/>
  <c r="Q33" i="5"/>
  <c r="Q34" i="5"/>
  <c r="Q35" i="5"/>
  <c r="Q36" i="5"/>
  <c r="Q37" i="5"/>
  <c r="Q38" i="5"/>
  <c r="Q39" i="5"/>
  <c r="Q40" i="5"/>
  <c r="Q41" i="5"/>
  <c r="Q42" i="5"/>
  <c r="Q43" i="5"/>
  <c r="Q44" i="5"/>
  <c r="Q45" i="5"/>
  <c r="Q46" i="5"/>
  <c r="Q47" i="5"/>
  <c r="Q48" i="5"/>
  <c r="Q49" i="5"/>
  <c r="Q50" i="5"/>
  <c r="Q51" i="5"/>
  <c r="Q52" i="5"/>
  <c r="Q53" i="5"/>
  <c r="Q54" i="5"/>
  <c r="Q55" i="5"/>
  <c r="Q56" i="5"/>
  <c r="Q57" i="5"/>
  <c r="Q58" i="5"/>
  <c r="Q59" i="5"/>
  <c r="Q60" i="5"/>
  <c r="Q61" i="5"/>
  <c r="Q62" i="5"/>
  <c r="Q63" i="5"/>
  <c r="Q64" i="5"/>
  <c r="Q65" i="5"/>
  <c r="Q66" i="5"/>
  <c r="Q67" i="5"/>
  <c r="Q68" i="5"/>
  <c r="Q69" i="5"/>
  <c r="Q70" i="5"/>
  <c r="Q71" i="5"/>
  <c r="Q72" i="5"/>
  <c r="Q73" i="5"/>
  <c r="Q74" i="5"/>
  <c r="Q75" i="5"/>
  <c r="Q76" i="5"/>
  <c r="Q77" i="5"/>
  <c r="Q78" i="5"/>
  <c r="Q79" i="5"/>
  <c r="Q80" i="5"/>
  <c r="Q81" i="5"/>
  <c r="Q82" i="5"/>
  <c r="Q83" i="5"/>
  <c r="Q84" i="5"/>
  <c r="Q85" i="5"/>
  <c r="Q86" i="5"/>
  <c r="Q87" i="5"/>
  <c r="Q88" i="5"/>
  <c r="Q89" i="5"/>
  <c r="Q90" i="5"/>
  <c r="Q91" i="5"/>
  <c r="Q92" i="5"/>
  <c r="Q93" i="5"/>
  <c r="Q94" i="5"/>
  <c r="Q95" i="5"/>
  <c r="Q96" i="5"/>
  <c r="Q97" i="5"/>
  <c r="Q98" i="5"/>
  <c r="Q99" i="5"/>
  <c r="Q100" i="5"/>
  <c r="Q101" i="5"/>
  <c r="Q102" i="5"/>
  <c r="Q103" i="5"/>
  <c r="Q104" i="5"/>
  <c r="Q105" i="5"/>
  <c r="Q106" i="5"/>
  <c r="Q107" i="5"/>
  <c r="Q108" i="5"/>
  <c r="Q109" i="5"/>
  <c r="Q110" i="5"/>
  <c r="Q111" i="5"/>
  <c r="Q112" i="5"/>
  <c r="Q113" i="5"/>
  <c r="Q114" i="5"/>
  <c r="Q115" i="5"/>
  <c r="Q116" i="5"/>
  <c r="Q117" i="5"/>
  <c r="Q118" i="5"/>
  <c r="Q119" i="5"/>
  <c r="Q120" i="5"/>
  <c r="Q121" i="5"/>
  <c r="Q122" i="5"/>
  <c r="Q123" i="5"/>
  <c r="Q124" i="5"/>
  <c r="Q125" i="5"/>
  <c r="Q126" i="5"/>
  <c r="Q127" i="5"/>
  <c r="Q128" i="5"/>
  <c r="Q129" i="5"/>
  <c r="Q130" i="5"/>
  <c r="Q131" i="5"/>
  <c r="Q132" i="5"/>
  <c r="Q133" i="5"/>
  <c r="Q134" i="5"/>
  <c r="Q135" i="5"/>
  <c r="Q136" i="5"/>
  <c r="Q137" i="5"/>
  <c r="Q138" i="5"/>
  <c r="Q139" i="5"/>
  <c r="Q140" i="5"/>
  <c r="Q141" i="5"/>
  <c r="Q142" i="5"/>
  <c r="Q143" i="5"/>
  <c r="Q144" i="5"/>
  <c r="Q145" i="5"/>
  <c r="Q146" i="5"/>
  <c r="Q147" i="5"/>
  <c r="Q148" i="5"/>
  <c r="Q149" i="5"/>
  <c r="Q150" i="5"/>
  <c r="Q151" i="5"/>
  <c r="Q152" i="5"/>
  <c r="Q153" i="5"/>
  <c r="Q154" i="5"/>
  <c r="Q155" i="5"/>
  <c r="Q156" i="5"/>
  <c r="Q157" i="5"/>
  <c r="Q158" i="5"/>
  <c r="Q159" i="5"/>
  <c r="Q160" i="5"/>
  <c r="Q161" i="5"/>
  <c r="Q162" i="5"/>
  <c r="Q163" i="5"/>
  <c r="Q164" i="5"/>
  <c r="Q165" i="5"/>
  <c r="Q166" i="5"/>
  <c r="Q167" i="5"/>
  <c r="Q168" i="5"/>
  <c r="Q169" i="5"/>
  <c r="Q170" i="5"/>
  <c r="Q171" i="5"/>
  <c r="Q172" i="5"/>
  <c r="Q173" i="5"/>
  <c r="Q174" i="5"/>
  <c r="Q175" i="5"/>
  <c r="Q176" i="5"/>
  <c r="Q177" i="5"/>
  <c r="Q178" i="5"/>
  <c r="Q179" i="5"/>
  <c r="Q180" i="5"/>
  <c r="Q181" i="5"/>
  <c r="Q182" i="5"/>
  <c r="Q183" i="5"/>
  <c r="Q184" i="5"/>
  <c r="Q185" i="5"/>
  <c r="Q186" i="5"/>
  <c r="Q187" i="5"/>
  <c r="Q188" i="5"/>
  <c r="Q189" i="5"/>
  <c r="Q190" i="5"/>
  <c r="Q191" i="5"/>
  <c r="Q192" i="5"/>
  <c r="Q193" i="5"/>
  <c r="Q194" i="5"/>
  <c r="Q195" i="5"/>
  <c r="Q196" i="5"/>
  <c r="Q197" i="5"/>
  <c r="Q198" i="5"/>
  <c r="Q199" i="5"/>
  <c r="Q200" i="5"/>
  <c r="Q201" i="5"/>
  <c r="Q202" i="5"/>
  <c r="Q203" i="5"/>
  <c r="Q204" i="5"/>
  <c r="Q205" i="5"/>
  <c r="Q206" i="5"/>
  <c r="Q207" i="5"/>
  <c r="Q208" i="5"/>
  <c r="Q209" i="5"/>
  <c r="Q210" i="5"/>
  <c r="Q211" i="5"/>
  <c r="Q212" i="5"/>
  <c r="Q213" i="5"/>
  <c r="Q214" i="5"/>
  <c r="Q215" i="5"/>
  <c r="Q216" i="5"/>
  <c r="Q217" i="5"/>
  <c r="Q218" i="5"/>
  <c r="Q219" i="5"/>
  <c r="Q220" i="5"/>
  <c r="Q221" i="5"/>
  <c r="Q222" i="5"/>
  <c r="Q223" i="5"/>
  <c r="Q224" i="5"/>
  <c r="Q225" i="5"/>
  <c r="Q226" i="5"/>
  <c r="Q227" i="5"/>
  <c r="Q228" i="5"/>
  <c r="Q229" i="5"/>
  <c r="Q230" i="5"/>
  <c r="Q231" i="5"/>
  <c r="Q232" i="5"/>
  <c r="Q233" i="5"/>
  <c r="Q234" i="5"/>
  <c r="Q235" i="5"/>
  <c r="Q236" i="5"/>
  <c r="Q237" i="5"/>
  <c r="Q238" i="5"/>
  <c r="Q239" i="5"/>
  <c r="Q240" i="5"/>
  <c r="Q241" i="5"/>
  <c r="Q242" i="5"/>
  <c r="Q243" i="5"/>
  <c r="Q244" i="5"/>
  <c r="Q245" i="5"/>
  <c r="Q246" i="5"/>
  <c r="Q247" i="5"/>
  <c r="Q248" i="5"/>
  <c r="Q249" i="5"/>
  <c r="Q250" i="5"/>
  <c r="Q251" i="5"/>
  <c r="Q252" i="5"/>
  <c r="Q253" i="5"/>
  <c r="Q254" i="5"/>
  <c r="Q255" i="5"/>
  <c r="Q256" i="5"/>
  <c r="Q257" i="5"/>
  <c r="Q258" i="5"/>
  <c r="Q259" i="5"/>
  <c r="Q260" i="5"/>
  <c r="Q261" i="5"/>
  <c r="Q262" i="5"/>
  <c r="Q263" i="5"/>
  <c r="Q264" i="5"/>
  <c r="Q265" i="5"/>
  <c r="Q266" i="5"/>
  <c r="Q267" i="5"/>
  <c r="Q268" i="5"/>
  <c r="Q269" i="5"/>
  <c r="Q270" i="5"/>
  <c r="Q271" i="5"/>
  <c r="Q272" i="5"/>
  <c r="Q273" i="5"/>
  <c r="Q274" i="5"/>
  <c r="Q275" i="5"/>
  <c r="Q276" i="5"/>
  <c r="Q277" i="5"/>
  <c r="Q278" i="5"/>
  <c r="Q279" i="5"/>
  <c r="Q280" i="5"/>
  <c r="Q281" i="5"/>
  <c r="Q282" i="5"/>
  <c r="Q283" i="5"/>
  <c r="Q284" i="5"/>
  <c r="Q285" i="5"/>
  <c r="Q286" i="5"/>
  <c r="Q287" i="5"/>
  <c r="Q288" i="5"/>
  <c r="Q289" i="5"/>
  <c r="Q290" i="5"/>
  <c r="Q291" i="5"/>
  <c r="Q292" i="5"/>
  <c r="Q293" i="5"/>
  <c r="Q294" i="5"/>
  <c r="Q295" i="5"/>
  <c r="Q296" i="5"/>
  <c r="Q297" i="5"/>
  <c r="Q298" i="5"/>
  <c r="Q299" i="5"/>
  <c r="Q300" i="5"/>
  <c r="Q301" i="5"/>
  <c r="Q302" i="5"/>
  <c r="Q303" i="5"/>
  <c r="Q304" i="5"/>
  <c r="Q305" i="5"/>
  <c r="Q306" i="5"/>
  <c r="Q307" i="5"/>
  <c r="Q308" i="5"/>
  <c r="Q309" i="5"/>
  <c r="Q310" i="5"/>
  <c r="Q311" i="5"/>
  <c r="Q312" i="5"/>
  <c r="Q313" i="5"/>
  <c r="Q314" i="5"/>
  <c r="Q315" i="5"/>
  <c r="Q316" i="5"/>
  <c r="Q317" i="5"/>
  <c r="Q318" i="5"/>
  <c r="Q319" i="5"/>
  <c r="Q320" i="5"/>
  <c r="Q321" i="5"/>
  <c r="Q322" i="5"/>
  <c r="Q323" i="5"/>
  <c r="Q324" i="5"/>
  <c r="Q325" i="5"/>
  <c r="Q326" i="5"/>
  <c r="Q327" i="5"/>
  <c r="Q328" i="5"/>
  <c r="Q329" i="5"/>
  <c r="Q330" i="5"/>
  <c r="Q331" i="5"/>
  <c r="Q332" i="5"/>
  <c r="Q333" i="5"/>
  <c r="Q334" i="5"/>
  <c r="Q335" i="5"/>
  <c r="Q336" i="5"/>
  <c r="Q337" i="5"/>
  <c r="Q338" i="5"/>
  <c r="Q339" i="5"/>
  <c r="Q340" i="5"/>
  <c r="Q341" i="5"/>
  <c r="Q342" i="5"/>
  <c r="Q343" i="5"/>
  <c r="Q344" i="5"/>
  <c r="Q345" i="5"/>
  <c r="Q346" i="5"/>
  <c r="Q347" i="5"/>
  <c r="Q348" i="5"/>
  <c r="Q349" i="5"/>
  <c r="Q350" i="5"/>
  <c r="Q351" i="5"/>
  <c r="Q352" i="5"/>
  <c r="Q353" i="5"/>
  <c r="Q354" i="5"/>
  <c r="Q355" i="5"/>
  <c r="Q356" i="5"/>
  <c r="Q357" i="5"/>
  <c r="Q358" i="5"/>
  <c r="Q359" i="5"/>
  <c r="Q360" i="5"/>
  <c r="Q361" i="5"/>
  <c r="Q362" i="5"/>
  <c r="Q363" i="5"/>
  <c r="Q364" i="5"/>
  <c r="Q365" i="5"/>
  <c r="Q366" i="5"/>
  <c r="Q367" i="5"/>
  <c r="Q368" i="5"/>
  <c r="Q369" i="5"/>
  <c r="Q370" i="5"/>
  <c r="Q371" i="5"/>
  <c r="Q372" i="5"/>
  <c r="Q373" i="5"/>
  <c r="Q374" i="5"/>
  <c r="Q375" i="5"/>
  <c r="Q376" i="5"/>
  <c r="Q377" i="5"/>
  <c r="Q378" i="5"/>
  <c r="Q379" i="5"/>
  <c r="Q380" i="5"/>
  <c r="Q381" i="5"/>
  <c r="Q382" i="5"/>
  <c r="Q383" i="5"/>
  <c r="Q384" i="5"/>
  <c r="Q385" i="5"/>
  <c r="Q386" i="5"/>
  <c r="Q387" i="5"/>
  <c r="Q388" i="5"/>
  <c r="Q389" i="5"/>
  <c r="Q390" i="5"/>
  <c r="Q391" i="5"/>
  <c r="Q392" i="5"/>
  <c r="Q393" i="5"/>
  <c r="Q394" i="5"/>
  <c r="Q395" i="5"/>
  <c r="Q396" i="5"/>
  <c r="Q397" i="5"/>
  <c r="Q398" i="5"/>
  <c r="Q399" i="5"/>
  <c r="Q400" i="5"/>
  <c r="Q401" i="5"/>
  <c r="Q402" i="5"/>
  <c r="Q403" i="5"/>
  <c r="Q404" i="5"/>
  <c r="Q405" i="5"/>
  <c r="Q406" i="5"/>
  <c r="Q407" i="5"/>
  <c r="Q408" i="5"/>
  <c r="Q409" i="5"/>
  <c r="Q410" i="5"/>
  <c r="Q411" i="5"/>
  <c r="Q412" i="5"/>
  <c r="Q413" i="5"/>
  <c r="Q414" i="5"/>
  <c r="Q415" i="5"/>
  <c r="Q416" i="5"/>
  <c r="Q417" i="5"/>
  <c r="Q418" i="5"/>
  <c r="Q419" i="5"/>
  <c r="Q420" i="5"/>
  <c r="Q421" i="5"/>
  <c r="Q422" i="5"/>
  <c r="Q423" i="5"/>
  <c r="Q424" i="5"/>
  <c r="Q425" i="5"/>
  <c r="Q426" i="5"/>
  <c r="Q427" i="5"/>
  <c r="Q428" i="5"/>
  <c r="Q429" i="5"/>
  <c r="Q430" i="5"/>
  <c r="Q431" i="5"/>
  <c r="Q432" i="5"/>
  <c r="Q433" i="5"/>
  <c r="Q434" i="5"/>
  <c r="Q435" i="5"/>
  <c r="Q436" i="5"/>
  <c r="Q437" i="5"/>
  <c r="Q438" i="5"/>
  <c r="Q439" i="5"/>
  <c r="Q440" i="5"/>
  <c r="Q441" i="5"/>
  <c r="Q442" i="5"/>
  <c r="Q443" i="5"/>
  <c r="Q444" i="5"/>
  <c r="Q445" i="5"/>
  <c r="Q446" i="5"/>
  <c r="Q447" i="5"/>
  <c r="Q448" i="5"/>
  <c r="Q449" i="5"/>
  <c r="Q450" i="5"/>
  <c r="Q451" i="5"/>
  <c r="Q452" i="5"/>
  <c r="Q453" i="5"/>
  <c r="Q454" i="5"/>
  <c r="Q455" i="5"/>
  <c r="Q456" i="5"/>
  <c r="Q457" i="5"/>
  <c r="Q458" i="5"/>
  <c r="Q459" i="5"/>
  <c r="Q460" i="5"/>
  <c r="Q461" i="5"/>
  <c r="Q462" i="5"/>
  <c r="Q463" i="5"/>
  <c r="Q464" i="5"/>
  <c r="Q465" i="5"/>
  <c r="Q466" i="5"/>
  <c r="Q467" i="5"/>
  <c r="Q468" i="5"/>
  <c r="Q469" i="5"/>
  <c r="Q470" i="5"/>
  <c r="Q471" i="5"/>
  <c r="Q472" i="5"/>
  <c r="Q473" i="5"/>
  <c r="Q474" i="5"/>
  <c r="Q475" i="5"/>
  <c r="Q476" i="5"/>
  <c r="Q477" i="5"/>
  <c r="Q478" i="5"/>
  <c r="Q479" i="5"/>
  <c r="Q480" i="5"/>
  <c r="Q481" i="5"/>
  <c r="Q482" i="5"/>
  <c r="Q483" i="5"/>
  <c r="Q484" i="5"/>
  <c r="Q485" i="5"/>
  <c r="Q486" i="5"/>
  <c r="Q487" i="5"/>
  <c r="Q488" i="5"/>
  <c r="Q489" i="5"/>
  <c r="Q490" i="5"/>
  <c r="Q491" i="5"/>
  <c r="Q492" i="5"/>
  <c r="Q493" i="5"/>
  <c r="Q494" i="5"/>
  <c r="Q495" i="5"/>
  <c r="Q496" i="5"/>
  <c r="Q497" i="5"/>
  <c r="Q498" i="5"/>
  <c r="Q499" i="5"/>
  <c r="Q500" i="5"/>
  <c r="Q501" i="5"/>
  <c r="Q2" i="5"/>
  <c r="M3" i="5"/>
  <c r="M4" i="5"/>
  <c r="M5" i="5"/>
  <c r="M6" i="5"/>
  <c r="M7" i="5"/>
  <c r="M8" i="5"/>
  <c r="M9" i="5"/>
  <c r="M10" i="5"/>
  <c r="M11" i="5"/>
  <c r="M12" i="5"/>
  <c r="M13" i="5"/>
  <c r="M14" i="5"/>
  <c r="M15" i="5"/>
  <c r="M16" i="5"/>
  <c r="M17" i="5"/>
  <c r="M18" i="5"/>
  <c r="M19" i="5"/>
  <c r="M20" i="5"/>
  <c r="M21" i="5"/>
  <c r="M22" i="5"/>
  <c r="M23" i="5"/>
  <c r="M24" i="5"/>
  <c r="M25" i="5"/>
  <c r="M26" i="5"/>
  <c r="M27" i="5"/>
  <c r="M28" i="5"/>
  <c r="M29" i="5"/>
  <c r="M30" i="5"/>
  <c r="M31" i="5"/>
  <c r="M32" i="5"/>
  <c r="M33" i="5"/>
  <c r="M34" i="5"/>
  <c r="M35" i="5"/>
  <c r="M36" i="5"/>
  <c r="M37" i="5"/>
  <c r="M38" i="5"/>
  <c r="M39" i="5"/>
  <c r="M40" i="5"/>
  <c r="M41" i="5"/>
  <c r="M42" i="5"/>
  <c r="M43" i="5"/>
  <c r="M44" i="5"/>
  <c r="M45" i="5"/>
  <c r="M46" i="5"/>
  <c r="M47" i="5"/>
  <c r="M48" i="5"/>
  <c r="M49" i="5"/>
  <c r="M50" i="5"/>
  <c r="M51" i="5"/>
  <c r="M52" i="5"/>
  <c r="M53" i="5"/>
  <c r="M54" i="5"/>
  <c r="M55" i="5"/>
  <c r="M56" i="5"/>
  <c r="M57" i="5"/>
  <c r="M58" i="5"/>
  <c r="M59" i="5"/>
  <c r="M60" i="5"/>
  <c r="M61" i="5"/>
  <c r="M62" i="5"/>
  <c r="M63" i="5"/>
  <c r="M64" i="5"/>
  <c r="M65" i="5"/>
  <c r="M66" i="5"/>
  <c r="M67" i="5"/>
  <c r="M68" i="5"/>
  <c r="M69" i="5"/>
  <c r="M70" i="5"/>
  <c r="M71" i="5"/>
  <c r="M72" i="5"/>
  <c r="M73" i="5"/>
  <c r="M74" i="5"/>
  <c r="M75" i="5"/>
  <c r="M76" i="5"/>
  <c r="M77" i="5"/>
  <c r="M78" i="5"/>
  <c r="M79" i="5"/>
  <c r="M80" i="5"/>
  <c r="M81" i="5"/>
  <c r="M82" i="5"/>
  <c r="M83" i="5"/>
  <c r="M84" i="5"/>
  <c r="M85" i="5"/>
  <c r="M86" i="5"/>
  <c r="M87" i="5"/>
  <c r="M88" i="5"/>
  <c r="M89" i="5"/>
  <c r="M90" i="5"/>
  <c r="M91" i="5"/>
  <c r="M92" i="5"/>
  <c r="M93" i="5"/>
  <c r="M94" i="5"/>
  <c r="M95" i="5"/>
  <c r="M96" i="5"/>
  <c r="M97" i="5"/>
  <c r="M98" i="5"/>
  <c r="M99" i="5"/>
  <c r="M100" i="5"/>
  <c r="M101" i="5"/>
  <c r="M102" i="5"/>
  <c r="M103" i="5"/>
  <c r="M104" i="5"/>
  <c r="M105" i="5"/>
  <c r="M106" i="5"/>
  <c r="M107" i="5"/>
  <c r="M108" i="5"/>
  <c r="M109" i="5"/>
  <c r="M110" i="5"/>
  <c r="M111" i="5"/>
  <c r="M112" i="5"/>
  <c r="M113" i="5"/>
  <c r="M114" i="5"/>
  <c r="M115" i="5"/>
  <c r="M116" i="5"/>
  <c r="M117" i="5"/>
  <c r="M118" i="5"/>
  <c r="M119" i="5"/>
  <c r="M120" i="5"/>
  <c r="M121" i="5"/>
  <c r="M122" i="5"/>
  <c r="M123" i="5"/>
  <c r="M124" i="5"/>
  <c r="M125" i="5"/>
  <c r="M126" i="5"/>
  <c r="M127" i="5"/>
  <c r="M128" i="5"/>
  <c r="M129" i="5"/>
  <c r="M130" i="5"/>
  <c r="M131" i="5"/>
  <c r="M132" i="5"/>
  <c r="M133" i="5"/>
  <c r="M134" i="5"/>
  <c r="M135" i="5"/>
  <c r="M136" i="5"/>
  <c r="M137" i="5"/>
  <c r="M138" i="5"/>
  <c r="M139" i="5"/>
  <c r="M140" i="5"/>
  <c r="M141" i="5"/>
  <c r="M142" i="5"/>
  <c r="M143" i="5"/>
  <c r="M144" i="5"/>
  <c r="M145" i="5"/>
  <c r="M146" i="5"/>
  <c r="M147" i="5"/>
  <c r="M148" i="5"/>
  <c r="M149" i="5"/>
  <c r="M150" i="5"/>
  <c r="M151" i="5"/>
  <c r="M152" i="5"/>
  <c r="M153" i="5"/>
  <c r="M154" i="5"/>
  <c r="M155" i="5"/>
  <c r="M156" i="5"/>
  <c r="M157" i="5"/>
  <c r="M158" i="5"/>
  <c r="M159" i="5"/>
  <c r="M160" i="5"/>
  <c r="M161" i="5"/>
  <c r="M162" i="5"/>
  <c r="M163" i="5"/>
  <c r="M164" i="5"/>
  <c r="M165" i="5"/>
  <c r="M166" i="5"/>
  <c r="M167" i="5"/>
  <c r="M168" i="5"/>
  <c r="M169" i="5"/>
  <c r="M170" i="5"/>
  <c r="M171" i="5"/>
  <c r="M172" i="5"/>
  <c r="M173" i="5"/>
  <c r="M174" i="5"/>
  <c r="M175" i="5"/>
  <c r="M176" i="5"/>
  <c r="M177" i="5"/>
  <c r="M178" i="5"/>
  <c r="M179" i="5"/>
  <c r="M180" i="5"/>
  <c r="M181" i="5"/>
  <c r="M182" i="5"/>
  <c r="M183" i="5"/>
  <c r="M184" i="5"/>
  <c r="M185" i="5"/>
  <c r="M186" i="5"/>
  <c r="M187" i="5"/>
  <c r="M188" i="5"/>
  <c r="M189" i="5"/>
  <c r="M190" i="5"/>
  <c r="M191" i="5"/>
  <c r="M192" i="5"/>
  <c r="M193" i="5"/>
  <c r="M194" i="5"/>
  <c r="M195" i="5"/>
  <c r="M196" i="5"/>
  <c r="M197" i="5"/>
  <c r="M198" i="5"/>
  <c r="M199" i="5"/>
  <c r="M200" i="5"/>
  <c r="M201" i="5"/>
  <c r="M202" i="5"/>
  <c r="M203" i="5"/>
  <c r="M204" i="5"/>
  <c r="M205" i="5"/>
  <c r="M206" i="5"/>
  <c r="M207" i="5"/>
  <c r="M208" i="5"/>
  <c r="M209" i="5"/>
  <c r="M210" i="5"/>
  <c r="M211" i="5"/>
  <c r="M212" i="5"/>
  <c r="M213" i="5"/>
  <c r="M214" i="5"/>
  <c r="M215" i="5"/>
  <c r="M216" i="5"/>
  <c r="M217" i="5"/>
  <c r="M218" i="5"/>
  <c r="M219" i="5"/>
  <c r="M220" i="5"/>
  <c r="M221" i="5"/>
  <c r="M222" i="5"/>
  <c r="M223" i="5"/>
  <c r="M224" i="5"/>
  <c r="M225" i="5"/>
  <c r="M226" i="5"/>
  <c r="M227" i="5"/>
  <c r="M228" i="5"/>
  <c r="M229" i="5"/>
  <c r="M230" i="5"/>
  <c r="M231" i="5"/>
  <c r="M232" i="5"/>
  <c r="M233" i="5"/>
  <c r="M234" i="5"/>
  <c r="M235" i="5"/>
  <c r="M236" i="5"/>
  <c r="M237" i="5"/>
  <c r="M238" i="5"/>
  <c r="M239" i="5"/>
  <c r="M240" i="5"/>
  <c r="M241" i="5"/>
  <c r="M242" i="5"/>
  <c r="M243" i="5"/>
  <c r="M244" i="5"/>
  <c r="M245" i="5"/>
  <c r="M246" i="5"/>
  <c r="M247" i="5"/>
  <c r="M248" i="5"/>
  <c r="M249" i="5"/>
  <c r="M250" i="5"/>
  <c r="M251" i="5"/>
  <c r="M252" i="5"/>
  <c r="M253" i="5"/>
  <c r="M254" i="5"/>
  <c r="M255" i="5"/>
  <c r="M256" i="5"/>
  <c r="M257" i="5"/>
  <c r="M258" i="5"/>
  <c r="M259" i="5"/>
  <c r="M260" i="5"/>
  <c r="M261" i="5"/>
  <c r="M262" i="5"/>
  <c r="M263" i="5"/>
  <c r="M264" i="5"/>
  <c r="M265" i="5"/>
  <c r="M266" i="5"/>
  <c r="M267" i="5"/>
  <c r="M268" i="5"/>
  <c r="M269" i="5"/>
  <c r="M270" i="5"/>
  <c r="M271" i="5"/>
  <c r="M272" i="5"/>
  <c r="M273" i="5"/>
  <c r="M274" i="5"/>
  <c r="M275" i="5"/>
  <c r="M276" i="5"/>
  <c r="M277" i="5"/>
  <c r="M278" i="5"/>
  <c r="M279" i="5"/>
  <c r="M280" i="5"/>
  <c r="M281" i="5"/>
  <c r="M282" i="5"/>
  <c r="M283" i="5"/>
  <c r="M284" i="5"/>
  <c r="M285" i="5"/>
  <c r="M286" i="5"/>
  <c r="M287" i="5"/>
  <c r="M288" i="5"/>
  <c r="M289" i="5"/>
  <c r="M290" i="5"/>
  <c r="M291" i="5"/>
  <c r="M292" i="5"/>
  <c r="M293" i="5"/>
  <c r="M294" i="5"/>
  <c r="M295" i="5"/>
  <c r="M296" i="5"/>
  <c r="M297" i="5"/>
  <c r="M298" i="5"/>
  <c r="M299" i="5"/>
  <c r="M300" i="5"/>
  <c r="M301" i="5"/>
  <c r="M302" i="5"/>
  <c r="M303" i="5"/>
  <c r="M304" i="5"/>
  <c r="M305" i="5"/>
  <c r="M306" i="5"/>
  <c r="M307" i="5"/>
  <c r="M308" i="5"/>
  <c r="M309" i="5"/>
  <c r="M310" i="5"/>
  <c r="M311" i="5"/>
  <c r="M312" i="5"/>
  <c r="M313" i="5"/>
  <c r="M314" i="5"/>
  <c r="M315" i="5"/>
  <c r="M316" i="5"/>
  <c r="M317" i="5"/>
  <c r="M318" i="5"/>
  <c r="M319" i="5"/>
  <c r="M320" i="5"/>
  <c r="M321" i="5"/>
  <c r="M322" i="5"/>
  <c r="M323" i="5"/>
  <c r="M324" i="5"/>
  <c r="M325" i="5"/>
  <c r="M326" i="5"/>
  <c r="M327" i="5"/>
  <c r="M328" i="5"/>
  <c r="M329" i="5"/>
  <c r="M330" i="5"/>
  <c r="M331" i="5"/>
  <c r="M332" i="5"/>
  <c r="M333" i="5"/>
  <c r="M334" i="5"/>
  <c r="M335" i="5"/>
  <c r="M336" i="5"/>
  <c r="M337" i="5"/>
  <c r="M338" i="5"/>
  <c r="M339" i="5"/>
  <c r="M340" i="5"/>
  <c r="M341" i="5"/>
  <c r="M342" i="5"/>
  <c r="M343" i="5"/>
  <c r="M344" i="5"/>
  <c r="M345" i="5"/>
  <c r="M346" i="5"/>
  <c r="M347" i="5"/>
  <c r="M348" i="5"/>
  <c r="M349" i="5"/>
  <c r="M350" i="5"/>
  <c r="M351" i="5"/>
  <c r="M352" i="5"/>
  <c r="M353" i="5"/>
  <c r="M354" i="5"/>
  <c r="M355" i="5"/>
  <c r="M356" i="5"/>
  <c r="M357" i="5"/>
  <c r="M358" i="5"/>
  <c r="M359" i="5"/>
  <c r="M360" i="5"/>
  <c r="M361" i="5"/>
  <c r="M362" i="5"/>
  <c r="M363" i="5"/>
  <c r="M364" i="5"/>
  <c r="M365" i="5"/>
  <c r="M366" i="5"/>
  <c r="M367" i="5"/>
  <c r="M368" i="5"/>
  <c r="M369" i="5"/>
  <c r="M370" i="5"/>
  <c r="M371" i="5"/>
  <c r="M372" i="5"/>
  <c r="M373" i="5"/>
  <c r="M374" i="5"/>
  <c r="M375" i="5"/>
  <c r="M376" i="5"/>
  <c r="M377" i="5"/>
  <c r="M378" i="5"/>
  <c r="M379" i="5"/>
  <c r="M380" i="5"/>
  <c r="M381" i="5"/>
  <c r="M382" i="5"/>
  <c r="M383" i="5"/>
  <c r="M384" i="5"/>
  <c r="M385" i="5"/>
  <c r="M386" i="5"/>
  <c r="M387" i="5"/>
  <c r="M388" i="5"/>
  <c r="M389" i="5"/>
  <c r="M390" i="5"/>
  <c r="M391" i="5"/>
  <c r="M392" i="5"/>
  <c r="M393" i="5"/>
  <c r="M394" i="5"/>
  <c r="M395" i="5"/>
  <c r="M396" i="5"/>
  <c r="M397" i="5"/>
  <c r="M398" i="5"/>
  <c r="M399" i="5"/>
  <c r="M400" i="5"/>
  <c r="M401" i="5"/>
  <c r="M402" i="5"/>
  <c r="M403" i="5"/>
  <c r="M404" i="5"/>
  <c r="M405" i="5"/>
  <c r="M406" i="5"/>
  <c r="M407" i="5"/>
  <c r="M408" i="5"/>
  <c r="M409" i="5"/>
  <c r="M410" i="5"/>
  <c r="M411" i="5"/>
  <c r="M412" i="5"/>
  <c r="M413" i="5"/>
  <c r="M414" i="5"/>
  <c r="M415" i="5"/>
  <c r="M416" i="5"/>
  <c r="M417" i="5"/>
  <c r="M418" i="5"/>
  <c r="M419" i="5"/>
  <c r="M420" i="5"/>
  <c r="M421" i="5"/>
  <c r="M422" i="5"/>
  <c r="M423" i="5"/>
  <c r="M424" i="5"/>
  <c r="M425" i="5"/>
  <c r="M426" i="5"/>
  <c r="M427" i="5"/>
  <c r="M428" i="5"/>
  <c r="M429" i="5"/>
  <c r="M430" i="5"/>
  <c r="M431" i="5"/>
  <c r="M432" i="5"/>
  <c r="M433" i="5"/>
  <c r="M434" i="5"/>
  <c r="M435" i="5"/>
  <c r="M436" i="5"/>
  <c r="M437" i="5"/>
  <c r="M438" i="5"/>
  <c r="M439" i="5"/>
  <c r="M440" i="5"/>
  <c r="M441" i="5"/>
  <c r="M442" i="5"/>
  <c r="M443" i="5"/>
  <c r="M444" i="5"/>
  <c r="M445" i="5"/>
  <c r="M446" i="5"/>
  <c r="M447" i="5"/>
  <c r="M448" i="5"/>
  <c r="M449" i="5"/>
  <c r="M450" i="5"/>
  <c r="M451" i="5"/>
  <c r="M452" i="5"/>
  <c r="M453" i="5"/>
  <c r="M454" i="5"/>
  <c r="M455" i="5"/>
  <c r="M456" i="5"/>
  <c r="M457" i="5"/>
  <c r="M458" i="5"/>
  <c r="M459" i="5"/>
  <c r="M460" i="5"/>
  <c r="M461" i="5"/>
  <c r="M462" i="5"/>
  <c r="M463" i="5"/>
  <c r="M464" i="5"/>
  <c r="M465" i="5"/>
  <c r="M466" i="5"/>
  <c r="M467" i="5"/>
  <c r="M468" i="5"/>
  <c r="M469" i="5"/>
  <c r="M470" i="5"/>
  <c r="M471" i="5"/>
  <c r="M472" i="5"/>
  <c r="M473" i="5"/>
  <c r="M474" i="5"/>
  <c r="M475" i="5"/>
  <c r="M476" i="5"/>
  <c r="M477" i="5"/>
  <c r="M478" i="5"/>
  <c r="M479" i="5"/>
  <c r="M480" i="5"/>
  <c r="M481" i="5"/>
  <c r="M482" i="5"/>
  <c r="M483" i="5"/>
  <c r="M484" i="5"/>
  <c r="M485" i="5"/>
  <c r="M486" i="5"/>
  <c r="M487" i="5"/>
  <c r="M488" i="5"/>
  <c r="M489" i="5"/>
  <c r="M490" i="5"/>
  <c r="M491" i="5"/>
  <c r="M492" i="5"/>
  <c r="M493" i="5"/>
  <c r="M494" i="5"/>
  <c r="M495" i="5"/>
  <c r="M496" i="5"/>
  <c r="M497" i="5"/>
  <c r="M498" i="5"/>
  <c r="M499" i="5"/>
  <c r="M500" i="5"/>
  <c r="M501" i="5"/>
  <c r="M2" i="5"/>
</calcChain>
</file>

<file path=xl/sharedStrings.xml><?xml version="1.0" encoding="utf-8"?>
<sst xmlns="http://schemas.openxmlformats.org/spreadsheetml/2006/main" count="3601" uniqueCount="768">
  <si>
    <t>Loan_ID</t>
  </si>
  <si>
    <t>loan_status</t>
  </si>
  <si>
    <t>Principal</t>
  </si>
  <si>
    <t>terms</t>
  </si>
  <si>
    <t>effective_date</t>
  </si>
  <si>
    <t>due_date</t>
  </si>
  <si>
    <t>paid_off_time</t>
  </si>
  <si>
    <t>past_due_days</t>
  </si>
  <si>
    <t>age</t>
  </si>
  <si>
    <t>education</t>
  </si>
  <si>
    <t>xqd20166231</t>
  </si>
  <si>
    <t>PAIDOFF</t>
  </si>
  <si>
    <t>9/14/2016 19:31</t>
  </si>
  <si>
    <t>Current</t>
  </si>
  <si>
    <t>xqd20168902</t>
  </si>
  <si>
    <t>xqd20160003</t>
  </si>
  <si>
    <t>9/25/2016 16:58</t>
  </si>
  <si>
    <t>xqd20160004</t>
  </si>
  <si>
    <t xml:space="preserve">                                   9/22/2016</t>
  </si>
  <si>
    <t>9/22/2016 20:00</t>
  </si>
  <si>
    <t>xqd20160005</t>
  </si>
  <si>
    <t>9/23/2016 21:36</t>
  </si>
  <si>
    <t>xqd20160706</t>
  </si>
  <si>
    <t xml:space="preserve">                                   9/15/2016</t>
  </si>
  <si>
    <t>xqd20160007</t>
  </si>
  <si>
    <t>xqd20160008</t>
  </si>
  <si>
    <t>xqd20160909</t>
  </si>
  <si>
    <t>xqd20160010</t>
  </si>
  <si>
    <t xml:space="preserve">                                    9/24/2016</t>
  </si>
  <si>
    <t>9/24/2016 13:00</t>
  </si>
  <si>
    <t>xqd20160011</t>
  </si>
  <si>
    <t>9/16/2016</t>
  </si>
  <si>
    <t>xqd20160012</t>
  </si>
  <si>
    <t>xqd20160013</t>
  </si>
  <si>
    <t>xqd20160014</t>
  </si>
  <si>
    <t>9/13/2016 21:57</t>
  </si>
  <si>
    <t>xqd20160015</t>
  </si>
  <si>
    <t>9/15/2016 14:27</t>
  </si>
  <si>
    <t>xqd20160016</t>
  </si>
  <si>
    <t>9/24/2016</t>
  </si>
  <si>
    <t>9/24/2016 16:00</t>
  </si>
  <si>
    <t>xqd20160017</t>
  </si>
  <si>
    <t>9/27/2016 14:21</t>
  </si>
  <si>
    <t>xqd20160018</t>
  </si>
  <si>
    <t>9/23/2016 18:49</t>
  </si>
  <si>
    <t>xqd20160019</t>
  </si>
  <si>
    <t>xqd20160020</t>
  </si>
  <si>
    <t>9/23/2016 7:42</t>
  </si>
  <si>
    <t>xqd20160021</t>
  </si>
  <si>
    <t>xqd20160022</t>
  </si>
  <si>
    <t>xqd20160023</t>
  </si>
  <si>
    <t>xqd20160024</t>
  </si>
  <si>
    <t>xqd20160025</t>
  </si>
  <si>
    <t>xqd20160026</t>
  </si>
  <si>
    <t>9/29/2016 12:18</t>
  </si>
  <si>
    <t>xqd20160027</t>
  </si>
  <si>
    <t>9/21/2016 20:16</t>
  </si>
  <si>
    <t>xqd20170088</t>
  </si>
  <si>
    <t>9/23/2016 8:21</t>
  </si>
  <si>
    <t>xqd20160029</t>
  </si>
  <si>
    <t>9/22/2016 19:17</t>
  </si>
  <si>
    <t>xqd20160030</t>
  </si>
  <si>
    <t>xqd88160031</t>
  </si>
  <si>
    <t>9/25/2016</t>
  </si>
  <si>
    <t>9/24/2016 14:41</t>
  </si>
  <si>
    <t>xqd20160032</t>
  </si>
  <si>
    <t>xqd20160033</t>
  </si>
  <si>
    <t>xqd22169034</t>
  </si>
  <si>
    <t>xqd20160035</t>
  </si>
  <si>
    <t>9/25/2016 21:49</t>
  </si>
  <si>
    <t>xqd20160036</t>
  </si>
  <si>
    <t>9/25/2016 9:00</t>
  </si>
  <si>
    <t>xqd20160037</t>
  </si>
  <si>
    <t>xqd20160038</t>
  </si>
  <si>
    <t>9/25/2016 13:00</t>
  </si>
  <si>
    <t>xqd20160039</t>
  </si>
  <si>
    <t>xqd20160040</t>
  </si>
  <si>
    <t>xqd20160041</t>
  </si>
  <si>
    <t>xqd20160042</t>
  </si>
  <si>
    <t>9/25/2016 14:36</t>
  </si>
  <si>
    <t>xqd20160043</t>
  </si>
  <si>
    <t>9/24/2016 9:00</t>
  </si>
  <si>
    <t>xqd20160044</t>
  </si>
  <si>
    <t>9/20/2016 15:00</t>
  </si>
  <si>
    <t>xqd20160045</t>
  </si>
  <si>
    <t>9/21/2016 22:29</t>
  </si>
  <si>
    <t>xqd20160046</t>
  </si>
  <si>
    <t>9/17/2016</t>
  </si>
  <si>
    <t>xqd20160047</t>
  </si>
  <si>
    <t>xqd20160048</t>
  </si>
  <si>
    <t>xqd20160049</t>
  </si>
  <si>
    <t>xqd20160050</t>
  </si>
  <si>
    <t>9/25/2016 19:21</t>
  </si>
  <si>
    <t>xqd20160051</t>
  </si>
  <si>
    <t>xqd20160052</t>
  </si>
  <si>
    <t>xqd20160053</t>
  </si>
  <si>
    <t>9/13/2016 4:34</t>
  </si>
  <si>
    <t>xqd20160054</t>
  </si>
  <si>
    <t>xqd20160055</t>
  </si>
  <si>
    <t>xqd20160056</t>
  </si>
  <si>
    <t>9/25/2016 16:00</t>
  </si>
  <si>
    <t>xqd20160057</t>
  </si>
  <si>
    <t>xqd20160058</t>
  </si>
  <si>
    <t>xqd20160059</t>
  </si>
  <si>
    <t>9/24/2016 11:40</t>
  </si>
  <si>
    <t>xqd20160060</t>
  </si>
  <si>
    <t>9/22/2016 6:38</t>
  </si>
  <si>
    <t>xqd20160061</t>
  </si>
  <si>
    <t>9/30/2016 21:12</t>
  </si>
  <si>
    <t>xqd20160062</t>
  </si>
  <si>
    <t>9/24/2016 13:42</t>
  </si>
  <si>
    <t>xqd20160063</t>
  </si>
  <si>
    <t>xqd20160064</t>
  </si>
  <si>
    <t>xqd20160065</t>
  </si>
  <si>
    <t>9/25/2016 14:38</t>
  </si>
  <si>
    <t>xqd20160066</t>
  </si>
  <si>
    <t>9/25/2016 23:00</t>
  </si>
  <si>
    <t>xqd20160067</t>
  </si>
  <si>
    <t>xqd20160068</t>
  </si>
  <si>
    <t>xqd20160069</t>
  </si>
  <si>
    <t>9/14/2016 22:05</t>
  </si>
  <si>
    <t>xqd20160070</t>
  </si>
  <si>
    <t>9/24/2016 13:27</t>
  </si>
  <si>
    <t>xqd20160071</t>
  </si>
  <si>
    <t>9/22/2016 21:18</t>
  </si>
  <si>
    <t>xqd20160072</t>
  </si>
  <si>
    <t>9/24/2016 22:53</t>
  </si>
  <si>
    <t>xqd20160073</t>
  </si>
  <si>
    <t>xqd20160074</t>
  </si>
  <si>
    <t>xqd20160075</t>
  </si>
  <si>
    <t>xqd20160076</t>
  </si>
  <si>
    <t>xqd20160077</t>
  </si>
  <si>
    <t>xqd20160078</t>
  </si>
  <si>
    <t>xqd20160079</t>
  </si>
  <si>
    <t>9/30/2016 14:29</t>
  </si>
  <si>
    <t>xqd20160080</t>
  </si>
  <si>
    <t>xqd20160081</t>
  </si>
  <si>
    <t>9/21/2016 16:18</t>
  </si>
  <si>
    <t>xqd20160082</t>
  </si>
  <si>
    <t>9/13/2016 14:53</t>
  </si>
  <si>
    <t>xqd20160083</t>
  </si>
  <si>
    <t>xqd20160084</t>
  </si>
  <si>
    <t>xqd20160085</t>
  </si>
  <si>
    <t>xqd20160086</t>
  </si>
  <si>
    <t>xqd20160087</t>
  </si>
  <si>
    <t>xqd20160088</t>
  </si>
  <si>
    <t>9/17/2016 13:01</t>
  </si>
  <si>
    <t>xqd20160089</t>
  </si>
  <si>
    <t>9/21/2016 9:35</t>
  </si>
  <si>
    <t>xqd90160090</t>
  </si>
  <si>
    <t>9/24/2016 20:33</t>
  </si>
  <si>
    <t>xqd91160291</t>
  </si>
  <si>
    <t>xqd90160092</t>
  </si>
  <si>
    <t>9/17/2016 9:00</t>
  </si>
  <si>
    <t>xqd90163093</t>
  </si>
  <si>
    <t>9/24/2016 0:12</t>
  </si>
  <si>
    <t>xqd20160094</t>
  </si>
  <si>
    <t>9/21/2016 12:43</t>
  </si>
  <si>
    <t>xqd20167095</t>
  </si>
  <si>
    <t>xqd20160096</t>
  </si>
  <si>
    <t>xqd20160097</t>
  </si>
  <si>
    <t>9/20/2016 5:38</t>
  </si>
  <si>
    <t>xqd20160098</t>
  </si>
  <si>
    <t>xqd20160099</t>
  </si>
  <si>
    <t>xqd20160100</t>
  </si>
  <si>
    <t>xqd20160101</t>
  </si>
  <si>
    <t>xqd20160102</t>
  </si>
  <si>
    <t>xqd20160103</t>
  </si>
  <si>
    <t>xqd20160104</t>
  </si>
  <si>
    <t>9/25/2016 23:48</t>
  </si>
  <si>
    <t>xqd20160105</t>
  </si>
  <si>
    <t>9/22/2016 13:15</t>
  </si>
  <si>
    <t>xqd20160106</t>
  </si>
  <si>
    <t>9/23/2016 13:31</t>
  </si>
  <si>
    <t>xqd20160107</t>
  </si>
  <si>
    <t>xqd20160108</t>
  </si>
  <si>
    <t>xqd20160109</t>
  </si>
  <si>
    <t>xqd20160110</t>
  </si>
  <si>
    <t>xqd20160111</t>
  </si>
  <si>
    <t>9/20/2016 20:47</t>
  </si>
  <si>
    <t>xqd20160112</t>
  </si>
  <si>
    <t>xqd20160113</t>
  </si>
  <si>
    <t>xqd20160114</t>
  </si>
  <si>
    <t>xqd20160115</t>
  </si>
  <si>
    <t>xqd20160116</t>
  </si>
  <si>
    <t>xqd20160117</t>
  </si>
  <si>
    <t>xqd20160118</t>
  </si>
  <si>
    <t>xqd20160119</t>
  </si>
  <si>
    <t>xqd20160120</t>
  </si>
  <si>
    <t>9/16/2016 11:58</t>
  </si>
  <si>
    <t>xqd20160121</t>
  </si>
  <si>
    <t>xqd20160122</t>
  </si>
  <si>
    <t>9/27/2016 7:02</t>
  </si>
  <si>
    <t>xqd20160123</t>
  </si>
  <si>
    <t>10/25/2016</t>
  </si>
  <si>
    <t>10/25/2016 9:00</t>
  </si>
  <si>
    <t>xqd20160124</t>
  </si>
  <si>
    <t>9/24/2016 11:02</t>
  </si>
  <si>
    <t>xqd20160125</t>
  </si>
  <si>
    <t>9/29/2016 18:57</t>
  </si>
  <si>
    <t>xqd20160126</t>
  </si>
  <si>
    <t>xqd20160127</t>
  </si>
  <si>
    <t>xqd20160128</t>
  </si>
  <si>
    <t>9/25/2016 12:24</t>
  </si>
  <si>
    <t>xqd78160129</t>
  </si>
  <si>
    <t>xqd20160130</t>
  </si>
  <si>
    <t>9/26/2016 4:41</t>
  </si>
  <si>
    <t>xqd20160131</t>
  </si>
  <si>
    <t>9/22/2016 15:44</t>
  </si>
  <si>
    <t>xqd20160132</t>
  </si>
  <si>
    <t>xqd20160133</t>
  </si>
  <si>
    <t>xqd20160134</t>
  </si>
  <si>
    <t>9/30/2016 7:12</t>
  </si>
  <si>
    <t>xqd20160135</t>
  </si>
  <si>
    <t>9/23/2016 11:26</t>
  </si>
  <si>
    <t>xqd20160136</t>
  </si>
  <si>
    <t>xqd20160137</t>
  </si>
  <si>
    <t>xqd20160138</t>
  </si>
  <si>
    <t>xqd20160139</t>
  </si>
  <si>
    <t>9/22/2016 21:45</t>
  </si>
  <si>
    <t>xqd56160140</t>
  </si>
  <si>
    <t>xqd20160141</t>
  </si>
  <si>
    <t>xqd20160142</t>
  </si>
  <si>
    <t>9/25/2016 9:01</t>
  </si>
  <si>
    <t>xqd20160143</t>
  </si>
  <si>
    <t>9/15/2016 20:36</t>
  </si>
  <si>
    <t>xqd20160144</t>
  </si>
  <si>
    <t>9/21/2016 15:33</t>
  </si>
  <si>
    <t>xqd20160145</t>
  </si>
  <si>
    <t>9/29/2016 13:36</t>
  </si>
  <si>
    <t>xqd20160146</t>
  </si>
  <si>
    <t>9/22/2016 20:51</t>
  </si>
  <si>
    <t>xqd20160147</t>
  </si>
  <si>
    <t>xqd20160148</t>
  </si>
  <si>
    <t>9/18/2016</t>
  </si>
  <si>
    <t>9/18/2016 9:00</t>
  </si>
  <si>
    <t>xqd20160149</t>
  </si>
  <si>
    <t>9/26/2016</t>
  </si>
  <si>
    <t>9/26/2016 9:00</t>
  </si>
  <si>
    <t>xqd20160150</t>
  </si>
  <si>
    <t>9/24/2016 10:14</t>
  </si>
  <si>
    <t>xqd20160151</t>
  </si>
  <si>
    <t>10/26/2016</t>
  </si>
  <si>
    <t>10/26/2016 9:00</t>
  </si>
  <si>
    <t>xqd34160152</t>
  </si>
  <si>
    <t>9/23/2016 20:30</t>
  </si>
  <si>
    <t>xqd20160153</t>
  </si>
  <si>
    <t>9/13/2016 20:17</t>
  </si>
  <si>
    <t>xqd20160154</t>
  </si>
  <si>
    <t>xqd20160155</t>
  </si>
  <si>
    <t>xqd20160156</t>
  </si>
  <si>
    <t>xqd20160157</t>
  </si>
  <si>
    <t>xqd20160158</t>
  </si>
  <si>
    <t>9/24/2016 14:55</t>
  </si>
  <si>
    <t>xqd12160159</t>
  </si>
  <si>
    <t>xqd20160160</t>
  </si>
  <si>
    <t>9/25/2016 20:56</t>
  </si>
  <si>
    <t>xqd20160161</t>
  </si>
  <si>
    <t>9/22/2016 10:49</t>
  </si>
  <si>
    <t>xqd20160162</t>
  </si>
  <si>
    <t>9/25/2016 22:09</t>
  </si>
  <si>
    <t>xqd20160163</t>
  </si>
  <si>
    <t>xqd28160164</t>
  </si>
  <si>
    <t>xqd20160165</t>
  </si>
  <si>
    <t>9/26/2016 19:33</t>
  </si>
  <si>
    <t>xqd20160166</t>
  </si>
  <si>
    <t>xqd20160167</t>
  </si>
  <si>
    <t>xqd20160168</t>
  </si>
  <si>
    <t>xqd20160169</t>
  </si>
  <si>
    <t>9/26/2016 13:00</t>
  </si>
  <si>
    <t>xqd27160170</t>
  </si>
  <si>
    <t>xqd20160171</t>
  </si>
  <si>
    <t>9/26/2016 16:00</t>
  </si>
  <si>
    <t>xqd20160172</t>
  </si>
  <si>
    <t>xqd20160173</t>
  </si>
  <si>
    <t>xqd20160174</t>
  </si>
  <si>
    <t>9/17/2016 7:39</t>
  </si>
  <si>
    <t>xqd20160175</t>
  </si>
  <si>
    <t>9/22/2016 10:30</t>
  </si>
  <si>
    <t>xqd20160176</t>
  </si>
  <si>
    <t>xqd20160177</t>
  </si>
  <si>
    <t>xqd20160178</t>
  </si>
  <si>
    <t>xqd20160179</t>
  </si>
  <si>
    <t>xqd20160180</t>
  </si>
  <si>
    <t>xqd20160181</t>
  </si>
  <si>
    <t>9/24/2016 11:00</t>
  </si>
  <si>
    <t>xqd20160182</t>
  </si>
  <si>
    <t>9/17/2016 9:25</t>
  </si>
  <si>
    <t>xqd20160183</t>
  </si>
  <si>
    <t>xqd20160184</t>
  </si>
  <si>
    <t>9/25/2016 8:39</t>
  </si>
  <si>
    <t>xqd20160185</t>
  </si>
  <si>
    <t>xqd20160186</t>
  </si>
  <si>
    <t>xqd20160187</t>
  </si>
  <si>
    <t>xqd20160188</t>
  </si>
  <si>
    <t>xqd20160189</t>
  </si>
  <si>
    <t>9/19/2016 21:07</t>
  </si>
  <si>
    <t>xqd20160190</t>
  </si>
  <si>
    <t>xqd20160191</t>
  </si>
  <si>
    <t>9/30/2016 14:38</t>
  </si>
  <si>
    <t>xqd20160192</t>
  </si>
  <si>
    <t>xqd20160193</t>
  </si>
  <si>
    <t>9/14/2016 20:31</t>
  </si>
  <si>
    <t>xqd20160194</t>
  </si>
  <si>
    <t>xqd20160195</t>
  </si>
  <si>
    <t>9/24/2016 16:15</t>
  </si>
  <si>
    <t>xqd20160196</t>
  </si>
  <si>
    <t>xqd20160197</t>
  </si>
  <si>
    <t>xqd20160198</t>
  </si>
  <si>
    <t>9/23/2016 10:32</t>
  </si>
  <si>
    <t>xqd20160199</t>
  </si>
  <si>
    <t>9/30/2016 14:03</t>
  </si>
  <si>
    <t>xqd20160200</t>
  </si>
  <si>
    <t>xqd20160201</t>
  </si>
  <si>
    <t>9/20/2016 8:26</t>
  </si>
  <si>
    <t>xqd20160202</t>
  </si>
  <si>
    <t>xqd20160203</t>
  </si>
  <si>
    <t>9/24/2016 20:47</t>
  </si>
  <si>
    <t>xqd20160204</t>
  </si>
  <si>
    <t>xqd20160205</t>
  </si>
  <si>
    <t>xqd20160206</t>
  </si>
  <si>
    <t>9/16/2016 14:52</t>
  </si>
  <si>
    <t>xqd20160207</t>
  </si>
  <si>
    <t>xqd20160208</t>
  </si>
  <si>
    <t>xqd20160209</t>
  </si>
  <si>
    <t>xqd20160210</t>
  </si>
  <si>
    <t>xqd20160211</t>
  </si>
  <si>
    <t>9/23/2016 21:58</t>
  </si>
  <si>
    <t>xqd20160212</t>
  </si>
  <si>
    <t>xqd20160213</t>
  </si>
  <si>
    <t>xqd20160214</t>
  </si>
  <si>
    <t>xqd20160215</t>
  </si>
  <si>
    <t>9/16/2016 2:34</t>
  </si>
  <si>
    <t>xqd20160216</t>
  </si>
  <si>
    <t>xqd20160217</t>
  </si>
  <si>
    <t>9/21/2016 8:11</t>
  </si>
  <si>
    <t>xqd20160218</t>
  </si>
  <si>
    <t>xqd20160219</t>
  </si>
  <si>
    <t>xqd20160220</t>
  </si>
  <si>
    <t>xqd20160221</t>
  </si>
  <si>
    <t>9/26/2016 23:00</t>
  </si>
  <si>
    <t>xqd20160222</t>
  </si>
  <si>
    <t>xqd20160223</t>
  </si>
  <si>
    <t>xqd20160224</t>
  </si>
  <si>
    <t>xqd20160225</t>
  </si>
  <si>
    <t>xqd20160226</t>
  </si>
  <si>
    <t>xqd20160227</t>
  </si>
  <si>
    <t>9/23/2016 14:01</t>
  </si>
  <si>
    <t>xqd20160228</t>
  </si>
  <si>
    <t>9/25/2016 13:29</t>
  </si>
  <si>
    <t>xqd20160229</t>
  </si>
  <si>
    <t>9/25/2016 14:50</t>
  </si>
  <si>
    <t>xqd20160230</t>
  </si>
  <si>
    <t>xqd20160231</t>
  </si>
  <si>
    <t>xqd20160232</t>
  </si>
  <si>
    <t>xqd20160233</t>
  </si>
  <si>
    <t>xqd20160234</t>
  </si>
  <si>
    <t>xqd20160235</t>
  </si>
  <si>
    <t>9/26/2016 19:35</t>
  </si>
  <si>
    <t>xqd20160236</t>
  </si>
  <si>
    <t>xqd20160237</t>
  </si>
  <si>
    <t>xqd20160238</t>
  </si>
  <si>
    <t>9/24/2016 12:13</t>
  </si>
  <si>
    <t>xqd20160239</t>
  </si>
  <si>
    <t>xqd20160240</t>
  </si>
  <si>
    <t>9/14/2016 23:02</t>
  </si>
  <si>
    <t>xqd20160241</t>
  </si>
  <si>
    <t>xqd20160242</t>
  </si>
  <si>
    <t>xqd20160243</t>
  </si>
  <si>
    <t>xqd20160244</t>
  </si>
  <si>
    <t>9/25/2016 19:31</t>
  </si>
  <si>
    <t>xqd20160245</t>
  </si>
  <si>
    <t>9/13/2016</t>
  </si>
  <si>
    <t>9/19/2016</t>
  </si>
  <si>
    <t>9/14/2016 19:48</t>
  </si>
  <si>
    <t>xqd20160246</t>
  </si>
  <si>
    <t>xqd20160247</t>
  </si>
  <si>
    <t>9/27/2016</t>
  </si>
  <si>
    <t>9/25/2016 12:48</t>
  </si>
  <si>
    <t>xqd20160248</t>
  </si>
  <si>
    <t>9/26/2016 21:18</t>
  </si>
  <si>
    <t>xqd20160249</t>
  </si>
  <si>
    <t>xqd20160250</t>
  </si>
  <si>
    <t>9/26/2016 6:17</t>
  </si>
  <si>
    <t>xqd20160251</t>
  </si>
  <si>
    <t>9/22/2016 16:57</t>
  </si>
  <si>
    <t>xqd20160252</t>
  </si>
  <si>
    <t>xqd20160253</t>
  </si>
  <si>
    <t>xqd20160254</t>
  </si>
  <si>
    <t>9/17/2016 20:51</t>
  </si>
  <si>
    <t>xqd20160255</t>
  </si>
  <si>
    <t>xqd20160256</t>
  </si>
  <si>
    <t>xqd20160257</t>
  </si>
  <si>
    <t>9/27/2016 9:00</t>
  </si>
  <si>
    <t>xqd20160258</t>
  </si>
  <si>
    <t>xqd20160259</t>
  </si>
  <si>
    <t>9/16/2016 15:57</t>
  </si>
  <si>
    <t>xqd20160260</t>
  </si>
  <si>
    <t>xqd20160261</t>
  </si>
  <si>
    <t>9/26/2016 7:48</t>
  </si>
  <si>
    <t>xqd20160262</t>
  </si>
  <si>
    <t>9/21/2016 16:53</t>
  </si>
  <si>
    <t>xqd20160263</t>
  </si>
  <si>
    <t>xqd20160264</t>
  </si>
  <si>
    <t>9/25/2016 10:37</t>
  </si>
  <si>
    <t>xqd20160265</t>
  </si>
  <si>
    <t>9/27/2016 13:00</t>
  </si>
  <si>
    <t>xqd20160266</t>
  </si>
  <si>
    <t>9/26/2016 15:10</t>
  </si>
  <si>
    <t>xqd20160267</t>
  </si>
  <si>
    <t>9/24/2016 12:46</t>
  </si>
  <si>
    <t>xqd20160268</t>
  </si>
  <si>
    <t>9/14/2016</t>
  </si>
  <si>
    <t>9/28/2016</t>
  </si>
  <si>
    <t>9/28/2016 9:00</t>
  </si>
  <si>
    <t>xqd20160269</t>
  </si>
  <si>
    <t>10/13/2016</t>
  </si>
  <si>
    <t>10/13/2016 9:00</t>
  </si>
  <si>
    <t>xqd20160270</t>
  </si>
  <si>
    <t>xqd20160271</t>
  </si>
  <si>
    <t>10/14/2016 11:03</t>
  </si>
  <si>
    <t>xqd20160272</t>
  </si>
  <si>
    <t>xqd20160273</t>
  </si>
  <si>
    <t>xqd20160274</t>
  </si>
  <si>
    <t>xqd20160275</t>
  </si>
  <si>
    <t>10/13/2016 13:00</t>
  </si>
  <si>
    <t>xqd20160276</t>
  </si>
  <si>
    <t>9/27/2016 15:52</t>
  </si>
  <si>
    <t>xqd20160277</t>
  </si>
  <si>
    <t>9/28/2016 13:00</t>
  </si>
  <si>
    <t>xqd20160278</t>
  </si>
  <si>
    <t>xqd20160279</t>
  </si>
  <si>
    <t>9/15/2016 0:43</t>
  </si>
  <si>
    <t>xqd20160280</t>
  </si>
  <si>
    <t>xqd20160281</t>
  </si>
  <si>
    <t>9/27/2016 20:41</t>
  </si>
  <si>
    <t>xqd20160282</t>
  </si>
  <si>
    <t>xqd20160283</t>
  </si>
  <si>
    <t>xqd20160284</t>
  </si>
  <si>
    <t>xqd20160285</t>
  </si>
  <si>
    <t>9/27/2016 22:50</t>
  </si>
  <si>
    <t>xqd20160286</t>
  </si>
  <si>
    <t>xqd20160287</t>
  </si>
  <si>
    <t>xqd20160288</t>
  </si>
  <si>
    <t>xqd20160289</t>
  </si>
  <si>
    <t>xqd20160290</t>
  </si>
  <si>
    <t>9/27/2016 7:48</t>
  </si>
  <si>
    <t>xqd20160291</t>
  </si>
  <si>
    <t>9/22/2016 9:28</t>
  </si>
  <si>
    <t>xqd20160292</t>
  </si>
  <si>
    <t>xqd20160293</t>
  </si>
  <si>
    <t>9/18/2016 16:56</t>
  </si>
  <si>
    <t>xqd20160294</t>
  </si>
  <si>
    <t>xqd20160295</t>
  </si>
  <si>
    <t>xqd20160296</t>
  </si>
  <si>
    <t>xqd20160297</t>
  </si>
  <si>
    <t>9/21/2016 4:42</t>
  </si>
  <si>
    <t>xqd20160298</t>
  </si>
  <si>
    <t>xqd20160299</t>
  </si>
  <si>
    <t>xqd20160300</t>
  </si>
  <si>
    <t>10/13/2016 11:00</t>
  </si>
  <si>
    <t>xqd20160301</t>
  </si>
  <si>
    <t>COLLECTION</t>
  </si>
  <si>
    <t>9/23/2016</t>
  </si>
  <si>
    <t>xqd20160302</t>
  </si>
  <si>
    <t>xqd20160303</t>
  </si>
  <si>
    <t>xqd20160304</t>
  </si>
  <si>
    <t>xqd20160305</t>
  </si>
  <si>
    <t>xqd20160306</t>
  </si>
  <si>
    <t>xqd20160307</t>
  </si>
  <si>
    <t>xqd20160308</t>
  </si>
  <si>
    <t>xqd20160309</t>
  </si>
  <si>
    <t>xqd20160310</t>
  </si>
  <si>
    <t>xqd20160311</t>
  </si>
  <si>
    <t>xqd20160312</t>
  </si>
  <si>
    <t>xqd20160313</t>
  </si>
  <si>
    <t>xqd20160314</t>
  </si>
  <si>
    <t>xqd20160315</t>
  </si>
  <si>
    <t>xqd20160316</t>
  </si>
  <si>
    <t>xqd20160317</t>
  </si>
  <si>
    <t>xqd20160318</t>
  </si>
  <si>
    <t>xqd20160319</t>
  </si>
  <si>
    <t>xqd20160320</t>
  </si>
  <si>
    <t>xqd20160321</t>
  </si>
  <si>
    <t>xqd20160322</t>
  </si>
  <si>
    <t>xqd20160323</t>
  </si>
  <si>
    <t>xqd20160324</t>
  </si>
  <si>
    <t>xqd20160325</t>
  </si>
  <si>
    <t>xqd20160326</t>
  </si>
  <si>
    <t>xqd20160327</t>
  </si>
  <si>
    <t>xqd20160328</t>
  </si>
  <si>
    <t>xqd20160329</t>
  </si>
  <si>
    <t>xqd20160330</t>
  </si>
  <si>
    <t>xqd20160331</t>
  </si>
  <si>
    <t>xqd20160332</t>
  </si>
  <si>
    <t>xqd20160333</t>
  </si>
  <si>
    <t>xqd20160334</t>
  </si>
  <si>
    <t>xqd20160335</t>
  </si>
  <si>
    <t>xqd20160336</t>
  </si>
  <si>
    <t>xqd20160337</t>
  </si>
  <si>
    <t>xqd20160338</t>
  </si>
  <si>
    <t>xqd20160339</t>
  </si>
  <si>
    <t>xqd20160340</t>
  </si>
  <si>
    <t>xqd20160341</t>
  </si>
  <si>
    <t>xqd20160342</t>
  </si>
  <si>
    <t>xqd20160343</t>
  </si>
  <si>
    <t>xqd20160344</t>
  </si>
  <si>
    <t>xqd20160345</t>
  </si>
  <si>
    <t>xqd20160346</t>
  </si>
  <si>
    <t>xqd20160347</t>
  </si>
  <si>
    <t>xqd20160348</t>
  </si>
  <si>
    <t>xqd20160349</t>
  </si>
  <si>
    <t>xqd20160350</t>
  </si>
  <si>
    <t>xqd20160351</t>
  </si>
  <si>
    <t>xqd20160352</t>
  </si>
  <si>
    <t>xqd20160353</t>
  </si>
  <si>
    <t>xqd20160354</t>
  </si>
  <si>
    <t>xqd20160355</t>
  </si>
  <si>
    <t>xqd20160356</t>
  </si>
  <si>
    <t>xqd20160357</t>
  </si>
  <si>
    <t>xqd20160358</t>
  </si>
  <si>
    <t>xqd20160359</t>
  </si>
  <si>
    <t>xqd20160360</t>
  </si>
  <si>
    <t>xqd20160361</t>
  </si>
  <si>
    <t>xqd20160362</t>
  </si>
  <si>
    <t>xqd20160363</t>
  </si>
  <si>
    <t>xqd20160364</t>
  </si>
  <si>
    <t>xqd20160365</t>
  </si>
  <si>
    <t>xqd20160366</t>
  </si>
  <si>
    <t>xqd20160367</t>
  </si>
  <si>
    <t>xqd20160368</t>
  </si>
  <si>
    <t>xqd20160369</t>
  </si>
  <si>
    <t>xqd20160370</t>
  </si>
  <si>
    <t>xqd20160371</t>
  </si>
  <si>
    <t>xqd20160372</t>
  </si>
  <si>
    <t>xqd20160373</t>
  </si>
  <si>
    <t>xqd20160374</t>
  </si>
  <si>
    <t>xqd20182575</t>
  </si>
  <si>
    <t>xqd20160376</t>
  </si>
  <si>
    <t>xqd20151038</t>
  </si>
  <si>
    <t>xqd20160378</t>
  </si>
  <si>
    <t>xqd20197340</t>
  </si>
  <si>
    <t>xqd20160380</t>
  </si>
  <si>
    <t>xqd20160381</t>
  </si>
  <si>
    <t>xqd20160382</t>
  </si>
  <si>
    <t>xqd20175721</t>
  </si>
  <si>
    <t>xqd20160384</t>
  </si>
  <si>
    <t>xqd20160385</t>
  </si>
  <si>
    <t>xqd20160386</t>
  </si>
  <si>
    <t>xqd20160387</t>
  </si>
  <si>
    <t>xqd20160388</t>
  </si>
  <si>
    <t>xqd20160389</t>
  </si>
  <si>
    <t>xqd20160390</t>
  </si>
  <si>
    <t>xqd20160391</t>
  </si>
  <si>
    <t>xqd20125284</t>
  </si>
  <si>
    <t>xqd20160393</t>
  </si>
  <si>
    <t>xqd20160394</t>
  </si>
  <si>
    <t>xqd20160395</t>
  </si>
  <si>
    <t>xqd20160396</t>
  </si>
  <si>
    <t>xqd20160397</t>
  </si>
  <si>
    <t>xqd20160398</t>
  </si>
  <si>
    <t>xqd20160399</t>
  </si>
  <si>
    <t>xqd20160400</t>
  </si>
  <si>
    <t>xqd20160401</t>
  </si>
  <si>
    <t>COLLECTION_PAIDOFF</t>
  </si>
  <si>
    <t>xqd20160402</t>
  </si>
  <si>
    <t>9/27/2016 17:00</t>
  </si>
  <si>
    <t>xqd20320403</t>
  </si>
  <si>
    <t>11/20/2016 14:10</t>
  </si>
  <si>
    <t>xqd20160404</t>
  </si>
  <si>
    <t>9/28/2016 15:38</t>
  </si>
  <si>
    <t>xqd20190405</t>
  </si>
  <si>
    <t>9/26/2016 17:22</t>
  </si>
  <si>
    <t>xqd20160406</t>
  </si>
  <si>
    <t>10/21/2016 14:00</t>
  </si>
  <si>
    <t>xqd20160407</t>
  </si>
  <si>
    <t>9/26/2016 11:03</t>
  </si>
  <si>
    <t>xqd20160408</t>
  </si>
  <si>
    <t>xqd20110409</t>
  </si>
  <si>
    <t>11/22/2016 15:53</t>
  </si>
  <si>
    <t>xqd20160410</t>
  </si>
  <si>
    <t>9/29/2016 10:30</t>
  </si>
  <si>
    <t>xqd20160411</t>
  </si>
  <si>
    <t>xqd20160412</t>
  </si>
  <si>
    <t>xqd20160413</t>
  </si>
  <si>
    <t>9/27/2016 17:10</t>
  </si>
  <si>
    <t>xqd20169083</t>
  </si>
  <si>
    <t>9/26/2016 11:35</t>
  </si>
  <si>
    <t>xqd20160415</t>
  </si>
  <si>
    <t>xqd20160416</t>
  </si>
  <si>
    <t>9/27/2016 17:14</t>
  </si>
  <si>
    <t>xqd20160417</t>
  </si>
  <si>
    <t>xqd20160418</t>
  </si>
  <si>
    <t>9/28/2016 11:38</t>
  </si>
  <si>
    <t>xqd20160419</t>
  </si>
  <si>
    <t>xqd20160420</t>
  </si>
  <si>
    <t>xqd20160421</t>
  </si>
  <si>
    <t>9/28/2016 17:39</t>
  </si>
  <si>
    <t>xqd20160422</t>
  </si>
  <si>
    <t>xqd20160423</t>
  </si>
  <si>
    <t>9/29/2016 15:12</t>
  </si>
  <si>
    <t>xqd20160424</t>
  </si>
  <si>
    <t>xqd20880425</t>
  </si>
  <si>
    <t>xqd20160426</t>
  </si>
  <si>
    <t>xqd20160427</t>
  </si>
  <si>
    <t>xqd20160428</t>
  </si>
  <si>
    <t>xqd20160429</t>
  </si>
  <si>
    <t>xqd20160430</t>
  </si>
  <si>
    <t>xqd20160431</t>
  </si>
  <si>
    <t>9/28/2016 14:02</t>
  </si>
  <si>
    <t>xqd20160432</t>
  </si>
  <si>
    <t>9/29/2016 13:42</t>
  </si>
  <si>
    <t>xqd20160433</t>
  </si>
  <si>
    <t>9/19/2016 15:00</t>
  </si>
  <si>
    <t>xqd20160434</t>
  </si>
  <si>
    <t>xqd20160435</t>
  </si>
  <si>
    <t>xqd20160436</t>
  </si>
  <si>
    <t>xqd20790437</t>
  </si>
  <si>
    <t>11/15/2016 15:27</t>
  </si>
  <si>
    <t>xqd20160438</t>
  </si>
  <si>
    <t>xqd20160439</t>
  </si>
  <si>
    <t>10/17/2016 10:06</t>
  </si>
  <si>
    <t>xqd20160440</t>
  </si>
  <si>
    <t>11/14/2016 13:15</t>
  </si>
  <si>
    <t>xqd20160441</t>
  </si>
  <si>
    <t>10/24/2016 16:20</t>
  </si>
  <si>
    <t>xqd20160442</t>
  </si>
  <si>
    <t>9/27/2016 16:35</t>
  </si>
  <si>
    <t>xqd20160443</t>
  </si>
  <si>
    <t>xqd20160444</t>
  </si>
  <si>
    <t>xqd20160445</t>
  </si>
  <si>
    <t>xqd20160446</t>
  </si>
  <si>
    <t>9/27/2016 17:24</t>
  </si>
  <si>
    <t>xqd20420447</t>
  </si>
  <si>
    <t>xqd20160448</t>
  </si>
  <si>
    <t>xqd20160449</t>
  </si>
  <si>
    <t>10/13/2016 18:18</t>
  </si>
  <si>
    <t>xqd20160450</t>
  </si>
  <si>
    <t>xqd20160451</t>
  </si>
  <si>
    <t>10/13/2016 16:27</t>
  </si>
  <si>
    <t>xqd20160452</t>
  </si>
  <si>
    <t>9/29/2016 11:19</t>
  </si>
  <si>
    <t>xqd20390453</t>
  </si>
  <si>
    <t>9/28/2016 11:17</t>
  </si>
  <si>
    <t>xqd20160454</t>
  </si>
  <si>
    <t>10/14/2016 11:04</t>
  </si>
  <si>
    <t>xqd20160455</t>
  </si>
  <si>
    <t>10/17/2016 17:40</t>
  </si>
  <si>
    <t>xqd20160456</t>
  </si>
  <si>
    <t>9/28/2016 9:42</t>
  </si>
  <si>
    <t>xqd20160457</t>
  </si>
  <si>
    <t>11/18/2016 15:52</t>
  </si>
  <si>
    <t>xqd20160458</t>
  </si>
  <si>
    <t>10/30/2016 14:19</t>
  </si>
  <si>
    <t>xqd20160459</t>
  </si>
  <si>
    <t>10/13/2016 15:10</t>
  </si>
  <si>
    <t>xqd20160460</t>
  </si>
  <si>
    <t>9/28/2016 13:36</t>
  </si>
  <si>
    <t>xqd20490461</t>
  </si>
  <si>
    <t>9/28/2016 15:34</t>
  </si>
  <si>
    <t>xqd20160462</t>
  </si>
  <si>
    <t>11/17/2016 11:55</t>
  </si>
  <si>
    <t>xqd20160463</t>
  </si>
  <si>
    <t>11/15/2016 18:51</t>
  </si>
  <si>
    <t>xqd20870464</t>
  </si>
  <si>
    <t>9/30/2016 10:23</t>
  </si>
  <si>
    <t>xqd20160465</t>
  </si>
  <si>
    <t>xqd20169466</t>
  </si>
  <si>
    <t>xqd20160467</t>
  </si>
  <si>
    <t>10/15/2016 9:48</t>
  </si>
  <si>
    <t>xqd20160468</t>
  </si>
  <si>
    <t>10/27/2016 11:14</t>
  </si>
  <si>
    <t>xqd20160469</t>
  </si>
  <si>
    <t>10/15/2016 14:14</t>
  </si>
  <si>
    <t>xqd25660470</t>
  </si>
  <si>
    <t>xqd20160471</t>
  </si>
  <si>
    <t>9/28/2016 15:02</t>
  </si>
  <si>
    <t>xqd20160472</t>
  </si>
  <si>
    <t>xqd20160473</t>
  </si>
  <si>
    <t>11/16/2016 12:12</t>
  </si>
  <si>
    <t>xqd20160474</t>
  </si>
  <si>
    <t>10/14/2016 19:02</t>
  </si>
  <si>
    <t>xqd20160475</t>
  </si>
  <si>
    <t>9/28/2016 11:34</t>
  </si>
  <si>
    <t>xqd20160476</t>
  </si>
  <si>
    <t>xqd20160477</t>
  </si>
  <si>
    <t>10/31/2016 13:07</t>
  </si>
  <si>
    <t>xqd20160478</t>
  </si>
  <si>
    <t>10/20/2016 17:38</t>
  </si>
  <si>
    <t>xqd20160479</t>
  </si>
  <si>
    <t>xqd20160480</t>
  </si>
  <si>
    <t>xqd20160481</t>
  </si>
  <si>
    <t>10/25/2016 13:44</t>
  </si>
  <si>
    <t>xqd20160482</t>
  </si>
  <si>
    <t>9/29/2016 15:07</t>
  </si>
  <si>
    <t>xqd20160483</t>
  </si>
  <si>
    <t>9/27/2016 11:40</t>
  </si>
  <si>
    <t>xqd20160484</t>
  </si>
  <si>
    <t>10/18/2016 19:08</t>
  </si>
  <si>
    <t>xqd20160485</t>
  </si>
  <si>
    <t>10/15/2016 9:23</t>
  </si>
  <si>
    <t>xqd20160486</t>
  </si>
  <si>
    <t>10/14/2016 10:07</t>
  </si>
  <si>
    <t>xqd20160487</t>
  </si>
  <si>
    <t>11/21/2016 11:36</t>
  </si>
  <si>
    <t>xqd20160488</t>
  </si>
  <si>
    <t>10/13/2016 12:02</t>
  </si>
  <si>
    <t>xqd20160489</t>
  </si>
  <si>
    <t>xqd20160490</t>
  </si>
  <si>
    <t>xqd20160491</t>
  </si>
  <si>
    <t>10/17/2016 10:53</t>
  </si>
  <si>
    <t>xqd20160492</t>
  </si>
  <si>
    <t>xqd20160493</t>
  </si>
  <si>
    <t>10/25/2016 17:44</t>
  </si>
  <si>
    <t>xqd20160494</t>
  </si>
  <si>
    <t>9/29/2016 12:45</t>
  </si>
  <si>
    <t>xqd20160495</t>
  </si>
  <si>
    <t>10/13/2016 14:45</t>
  </si>
  <si>
    <t>xqd20160496</t>
  </si>
  <si>
    <t>10/14/2016 19:08</t>
  </si>
  <si>
    <t>xqd20160497</t>
  </si>
  <si>
    <t>xqd20160498</t>
  </si>
  <si>
    <t>9/29/2016 11:49</t>
  </si>
  <si>
    <t>xqd20160499</t>
  </si>
  <si>
    <t>xqd20160500</t>
  </si>
  <si>
    <t>10/19/2016 11:58</t>
  </si>
  <si>
    <t>Values</t>
  </si>
  <si>
    <t>Answers</t>
  </si>
  <si>
    <t xml:space="preserve">delinquency_category </t>
  </si>
  <si>
    <t xml:space="preserve"> 40 - 80 Days</t>
  </si>
  <si>
    <t>1 - 39 Days</t>
  </si>
  <si>
    <t>Delinquency_Category_Funct</t>
  </si>
  <si>
    <t>Education_Funct</t>
  </si>
  <si>
    <t>gender</t>
  </si>
  <si>
    <t>Gender_Funct</t>
  </si>
  <si>
    <t>male</t>
  </si>
  <si>
    <t>female</t>
  </si>
  <si>
    <t>high school or below</t>
  </si>
  <si>
    <t>bachelor</t>
  </si>
  <si>
    <t>college</t>
  </si>
  <si>
    <t>master or above</t>
  </si>
  <si>
    <t>age_grouped</t>
  </si>
  <si>
    <t>Age_Grouped_Funct</t>
  </si>
  <si>
    <t>Mature</t>
  </si>
  <si>
    <t>Old</t>
  </si>
  <si>
    <t>Middle Aged</t>
  </si>
  <si>
    <t xml:space="preserve"> Young Adults</t>
  </si>
  <si>
    <t xml:space="preserve">Total Loans </t>
  </si>
  <si>
    <t>Total Principal</t>
  </si>
  <si>
    <t xml:space="preserve">Loans in Collection </t>
  </si>
  <si>
    <t xml:space="preserve">Principal In Collection </t>
  </si>
  <si>
    <t xml:space="preserve">40+ Days Loans </t>
  </si>
  <si>
    <t xml:space="preserve">Collection Rate </t>
  </si>
  <si>
    <t>How many loans are in the dataset?</t>
  </si>
  <si>
    <t xml:space="preserve">What is the total principal value of the portfolio? </t>
  </si>
  <si>
    <t>How many loans are currently classified as COLLECTION?</t>
  </si>
  <si>
    <t>How much principal is associated with laons currently in COLLECTION?</t>
  </si>
  <si>
    <t>How many Loans fall into the most severe delinqeuncy band we've defined?</t>
  </si>
  <si>
    <t>What percentage of all loans are currently classified as COLLECTION?</t>
  </si>
  <si>
    <t>Row Labels</t>
  </si>
  <si>
    <t>Grand Total</t>
  </si>
  <si>
    <t>Count of Loan_ID</t>
  </si>
  <si>
    <t>Sum of Principal</t>
  </si>
  <si>
    <t>Column Labels</t>
  </si>
  <si>
    <t>KPI SUMMARY</t>
  </si>
  <si>
    <t>KPIs</t>
  </si>
  <si>
    <t>LOAN PAYMENT DASHBOARD</t>
  </si>
  <si>
    <r>
      <rPr>
        <sz val="48"/>
        <color theme="0"/>
        <rFont val="Calibri"/>
        <family val="2"/>
        <scheme val="minor"/>
      </rPr>
      <t>Pivot Tables</t>
    </r>
    <r>
      <rPr>
        <sz val="11"/>
        <color theme="0"/>
        <rFont val="Calibri"/>
        <family val="2"/>
        <scheme val="minor"/>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</si>
</sst>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1"/>
      <name val="Calibri"/>
      <family val="2"/>
      <scheme val="minor"/>
    </font>
    <font>
      <b/>
      <sz val="22"/>
      <color theme="1"/>
      <name val="Calibri"/>
      <family val="2"/>
      <scheme val="minor"/>
    </font>
    <font>
      <sz val="48"/>
      <color theme="0" tint="-4.9989318521683403E-2"/>
      <name val="Calibri"/>
      <family val="2"/>
      <scheme val="minor"/>
    </font>
    <font>
      <b/>
      <sz val="48"/>
      <color theme="1"/>
      <name val="Calibri"/>
      <family val="2"/>
      <scheme val="minor"/>
    </font>
    <font>
      <sz val="11"/>
      <color theme="0"/>
      <name val="Calibri"/>
      <family val="2"/>
      <scheme val="minor"/>
    </font>
    <font>
      <sz val="48"/>
      <color theme="0"/>
      <name val="Calibri"/>
      <family val="2"/>
      <scheme val="minor"/>
    </font>
  </fonts>
  <fills count="8">
    <fill>
      <patternFill patternType="none"/>
    </fill>
    <fill>
      <patternFill patternType="gray125"/>
    </fill>
    <fill>
      <patternFill patternType="solid">
        <fgColor theme="0" tint="-0.14999847407452621"/>
        <bgColor indexed="64"/>
      </patternFill>
    </fill>
    <fill>
      <patternFill patternType="solid">
        <fgColor theme="0" tint="-0.34998626667073579"/>
        <bgColor indexed="64"/>
      </patternFill>
    </fill>
    <fill>
      <patternFill patternType="solid">
        <fgColor rgb="FF002060"/>
        <bgColor indexed="64"/>
      </patternFill>
    </fill>
    <fill>
      <patternFill patternType="solid">
        <fgColor rgb="FF660033"/>
        <bgColor indexed="64"/>
      </patternFill>
    </fill>
    <fill>
      <patternFill patternType="solid">
        <fgColor theme="0"/>
        <bgColor indexed="64"/>
      </patternFill>
    </fill>
    <fill>
      <patternFill patternType="solid">
        <fgColor theme="0" tint="-0.499984740745262"/>
        <bgColor indexed="64"/>
      </patternFill>
    </fill>
  </fills>
  <borders count="1">
    <border>
      <left/>
      <right/>
      <top/>
      <bottom/>
      <diagonal/>
    </border>
  </borders>
  <cellStyleXfs count="1">
    <xf numFmtId="0" fontId="0" fillId="0" borderId="0"/>
  </cellStyleXfs>
  <cellXfs count="20">
    <xf numFmtId="0" fontId="0" fillId="0" borderId="0" xfId="0"/>
    <xf numFmtId="0" fontId="0" fillId="0" borderId="0" xfId="0" applyNumberFormat="1"/>
    <xf numFmtId="49" fontId="0" fillId="0" borderId="0" xfId="0" applyNumberFormat="1"/>
    <xf numFmtId="1" fontId="0" fillId="0" borderId="0" xfId="0" applyNumberFormat="1"/>
    <xf numFmtId="0" fontId="1" fillId="2" borderId="0" xfId="0" applyFont="1" applyFill="1" applyAlignment="1"/>
    <xf numFmtId="0" fontId="0" fillId="2" borderId="0" xfId="0" applyFill="1" applyAlignment="1"/>
    <xf numFmtId="1" fontId="0" fillId="2" borderId="0" xfId="0" applyNumberFormat="1" applyFill="1" applyAlignment="1"/>
    <xf numFmtId="9" fontId="0" fillId="2" borderId="0" xfId="0" applyNumberFormat="1" applyFill="1" applyAlignment="1"/>
    <xf numFmtId="0" fontId="2" fillId="3" borderId="0" xfId="0" applyFont="1" applyFill="1" applyAlignment="1"/>
    <xf numFmtId="0" fontId="0" fillId="0" borderId="0" xfId="0" pivotButton="1"/>
    <xf numFmtId="0" fontId="0" fillId="0" borderId="0" xfId="0" applyAlignment="1">
      <alignment horizontal="left"/>
    </xf>
    <xf numFmtId="14" fontId="0" fillId="0" borderId="0" xfId="0" applyNumberFormat="1" applyAlignment="1">
      <alignment horizontal="left"/>
    </xf>
    <xf numFmtId="0" fontId="4" fillId="6" borderId="0" xfId="0" applyFont="1" applyFill="1" applyAlignment="1"/>
    <xf numFmtId="0" fontId="3" fillId="7" borderId="0" xfId="0" applyFont="1" applyFill="1" applyAlignment="1">
      <alignment horizontal="center" vertical="center"/>
    </xf>
    <xf numFmtId="0" fontId="0" fillId="0" borderId="0" xfId="0" applyAlignment="1">
      <alignment horizontal="center"/>
    </xf>
    <xf numFmtId="0" fontId="5" fillId="4" borderId="0" xfId="0" applyFont="1" applyFill="1" applyAlignment="1">
      <alignment horizontal="center" vertical="center"/>
    </xf>
    <xf numFmtId="0" fontId="0" fillId="4" borderId="0" xfId="0" applyFill="1" applyAlignment="1">
      <alignment horizontal="center" vertical="center"/>
    </xf>
    <xf numFmtId="0" fontId="3" fillId="5" borderId="0" xfId="0" applyFont="1" applyFill="1" applyAlignment="1">
      <alignment horizontal="center" vertical="center"/>
    </xf>
    <xf numFmtId="14" fontId="0" fillId="0" borderId="0" xfId="0" applyNumberFormat="1" applyAlignment="1">
      <alignment horizontal="right"/>
    </xf>
    <xf numFmtId="22" fontId="0" fillId="0" borderId="0" xfId="0" applyNumberFormat="1" applyAlignment="1">
      <alignment horizontal="right"/>
    </xf>
  </cellXfs>
  <cellStyles count="1">
    <cellStyle name="Normal" xfId="0" builtinId="0"/>
  </cellStyles>
  <dxfs count="0"/>
  <tableStyles count="0" defaultTableStyle="TableStyleMedium2" defaultPivotStyle="PivotStyleLight16"/>
  <colors>
    <mruColors>
      <color rgb="FF6600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themeOverride" Target="../theme/themeOverride4.xml"/><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[Loan Payment Project.xlsx] Pivot Tables!PivotTable1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Daily Loan</a:t>
            </a:r>
            <a:r>
              <a:rPr lang="en-US" baseline="0"/>
              <a:t> Analysis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s>
    <c:plotArea>
      <c:layout/>
      <c:pieChart>
        <c:varyColors val="1"/>
        <c:ser>
          <c:idx val="0"/>
          <c:order val="0"/>
          <c:tx>
            <c:strRef>
              <c:f>' Pivot Tables'!$B$8</c:f>
              <c:strCache>
                <c:ptCount val="1"/>
                <c:pt idx="0">
                  <c:v>Count of Loan_ID</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CCF-49A2-869D-C6744686E1E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CCF-49A2-869D-C6744686E1E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CCF-49A2-869D-C6744686E1E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CCF-49A2-869D-C6744686E1EA}"/>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1CCF-49A2-869D-C6744686E1EA}"/>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1CCF-49A2-869D-C6744686E1EA}"/>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1CCF-49A2-869D-C6744686E1EA}"/>
              </c:ext>
            </c:extLst>
          </c:dPt>
          <c:cat>
            <c:strRef>
              <c:f>' Pivot Tables'!$A$9:$A$16</c:f>
              <c:strCache>
                <c:ptCount val="7"/>
                <c:pt idx="0">
                  <c:v>9/13/2016</c:v>
                </c:pt>
                <c:pt idx="1">
                  <c:v>9/14/2016</c:v>
                </c:pt>
                <c:pt idx="2">
                  <c:v>09/08/2016</c:v>
                </c:pt>
                <c:pt idx="3">
                  <c:v>09/09/2016</c:v>
                </c:pt>
                <c:pt idx="4">
                  <c:v>09/10/2016</c:v>
                </c:pt>
                <c:pt idx="5">
                  <c:v>09/11/2016</c:v>
                </c:pt>
                <c:pt idx="6">
                  <c:v>09/12/2016</c:v>
                </c:pt>
              </c:strCache>
            </c:strRef>
          </c:cat>
          <c:val>
            <c:numRef>
              <c:f>' Pivot Tables'!$B$9:$B$16</c:f>
              <c:numCache>
                <c:formatCode>General</c:formatCode>
                <c:ptCount val="7"/>
                <c:pt idx="0">
                  <c:v>23</c:v>
                </c:pt>
                <c:pt idx="1">
                  <c:v>33</c:v>
                </c:pt>
                <c:pt idx="2">
                  <c:v>4</c:v>
                </c:pt>
                <c:pt idx="3">
                  <c:v>15</c:v>
                </c:pt>
                <c:pt idx="4">
                  <c:v>46</c:v>
                </c:pt>
                <c:pt idx="5">
                  <c:v>231</c:v>
                </c:pt>
                <c:pt idx="6">
                  <c:v>148</c:v>
                </c:pt>
              </c:numCache>
            </c:numRef>
          </c:val>
          <c:extLst>
            <c:ext xmlns:c16="http://schemas.microsoft.com/office/drawing/2014/chart" uri="{C3380CC4-5D6E-409C-BE32-E72D297353CC}">
              <c16:uniqueId val="{00000000-9C3C-4AD5-8EB0-3FE75F23B38A}"/>
            </c:ext>
          </c:extLst>
        </c:ser>
        <c:ser>
          <c:idx val="1"/>
          <c:order val="1"/>
          <c:tx>
            <c:strRef>
              <c:f>' Pivot Tables'!$C$8</c:f>
              <c:strCache>
                <c:ptCount val="1"/>
                <c:pt idx="0">
                  <c:v>Sum of Principal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F-1CCF-49A2-869D-C6744686E1E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1-1CCF-49A2-869D-C6744686E1E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3-1CCF-49A2-869D-C6744686E1E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5-1CCF-49A2-869D-C6744686E1EA}"/>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7-1CCF-49A2-869D-C6744686E1EA}"/>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19-1CCF-49A2-869D-C6744686E1EA}"/>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1B-1CCF-49A2-869D-C6744686E1EA}"/>
              </c:ext>
            </c:extLst>
          </c:dPt>
          <c:cat>
            <c:strRef>
              <c:f>' Pivot Tables'!$A$9:$A$16</c:f>
              <c:strCache>
                <c:ptCount val="7"/>
                <c:pt idx="0">
                  <c:v>9/13/2016</c:v>
                </c:pt>
                <c:pt idx="1">
                  <c:v>9/14/2016</c:v>
                </c:pt>
                <c:pt idx="2">
                  <c:v>09/08/2016</c:v>
                </c:pt>
                <c:pt idx="3">
                  <c:v>09/09/2016</c:v>
                </c:pt>
                <c:pt idx="4">
                  <c:v>09/10/2016</c:v>
                </c:pt>
                <c:pt idx="5">
                  <c:v>09/11/2016</c:v>
                </c:pt>
                <c:pt idx="6">
                  <c:v>09/12/2016</c:v>
                </c:pt>
              </c:strCache>
            </c:strRef>
          </c:cat>
          <c:val>
            <c:numRef>
              <c:f>' Pivot Tables'!$C$9:$C$16</c:f>
              <c:numCache>
                <c:formatCode>General</c:formatCode>
                <c:ptCount val="7"/>
                <c:pt idx="0">
                  <c:v>20900</c:v>
                </c:pt>
                <c:pt idx="1">
                  <c:v>31400</c:v>
                </c:pt>
                <c:pt idx="2">
                  <c:v>4000</c:v>
                </c:pt>
                <c:pt idx="3">
                  <c:v>13700</c:v>
                </c:pt>
                <c:pt idx="4">
                  <c:v>43200</c:v>
                </c:pt>
                <c:pt idx="5">
                  <c:v>219000</c:v>
                </c:pt>
                <c:pt idx="6">
                  <c:v>139400</c:v>
                </c:pt>
              </c:numCache>
            </c:numRef>
          </c:val>
          <c:extLst>
            <c:ext xmlns:c16="http://schemas.microsoft.com/office/drawing/2014/chart" uri="{C3380CC4-5D6E-409C-BE32-E72D297353CC}">
              <c16:uniqueId val="{00000001-9C3C-4AD5-8EB0-3FE75F23B38A}"/>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75763888888888886"/>
          <c:y val="0.1980511205330103"/>
          <c:w val="0.22569444444444448"/>
          <c:h val="0.7090561679790025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15875" cap="flat" cmpd="sng" algn="ctr">
      <a:solidFill>
        <a:schemeClr val="bg1">
          <a:lumMod val="6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[Loan Payment Project.xlsx] Pivot Tables!PivotTable3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Loan Status Per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4953366188526577E-2"/>
          <c:y val="0.20814288457845209"/>
          <c:w val="0.64206002599536316"/>
          <c:h val="0.60907016196146202"/>
        </c:manualLayout>
      </c:layout>
      <c:barChart>
        <c:barDir val="col"/>
        <c:grouping val="clustered"/>
        <c:varyColors val="0"/>
        <c:ser>
          <c:idx val="0"/>
          <c:order val="0"/>
          <c:tx>
            <c:strRef>
              <c:f>' Pivot Tables'!$B$28:$B$29</c:f>
              <c:strCache>
                <c:ptCount val="1"/>
                <c:pt idx="0">
                  <c:v>COLLECTION</c:v>
                </c:pt>
              </c:strCache>
            </c:strRef>
          </c:tx>
          <c:spPr>
            <a:solidFill>
              <a:schemeClr val="accent1"/>
            </a:solidFill>
            <a:ln>
              <a:noFill/>
            </a:ln>
            <a:effectLst/>
          </c:spPr>
          <c:invertIfNegative val="0"/>
          <c:cat>
            <c:strRef>
              <c:f>' Pivot Tables'!$A$30:$A$32</c:f>
              <c:strCache>
                <c:ptCount val="2"/>
                <c:pt idx="0">
                  <c:v>female</c:v>
                </c:pt>
                <c:pt idx="1">
                  <c:v>male</c:v>
                </c:pt>
              </c:strCache>
            </c:strRef>
          </c:cat>
          <c:val>
            <c:numRef>
              <c:f>' Pivot Tables'!$B$30:$B$32</c:f>
              <c:numCache>
                <c:formatCode>General</c:formatCode>
                <c:ptCount val="2"/>
                <c:pt idx="0">
                  <c:v>10</c:v>
                </c:pt>
                <c:pt idx="1">
                  <c:v>90</c:v>
                </c:pt>
              </c:numCache>
            </c:numRef>
          </c:val>
          <c:extLst>
            <c:ext xmlns:c16="http://schemas.microsoft.com/office/drawing/2014/chart" uri="{C3380CC4-5D6E-409C-BE32-E72D297353CC}">
              <c16:uniqueId val="{00000000-2F11-4189-8551-A082A6CE21A2}"/>
            </c:ext>
          </c:extLst>
        </c:ser>
        <c:ser>
          <c:idx val="1"/>
          <c:order val="1"/>
          <c:tx>
            <c:strRef>
              <c:f>' Pivot Tables'!$C$28:$C$29</c:f>
              <c:strCache>
                <c:ptCount val="1"/>
                <c:pt idx="0">
                  <c:v>COLLECTION_PAIDOFF</c:v>
                </c:pt>
              </c:strCache>
            </c:strRef>
          </c:tx>
          <c:spPr>
            <a:solidFill>
              <a:schemeClr val="accent2"/>
            </a:solidFill>
            <a:ln>
              <a:noFill/>
            </a:ln>
            <a:effectLst/>
          </c:spPr>
          <c:invertIfNegative val="0"/>
          <c:cat>
            <c:strRef>
              <c:f>' Pivot Tables'!$A$30:$A$32</c:f>
              <c:strCache>
                <c:ptCount val="2"/>
                <c:pt idx="0">
                  <c:v>female</c:v>
                </c:pt>
                <c:pt idx="1">
                  <c:v>male</c:v>
                </c:pt>
              </c:strCache>
            </c:strRef>
          </c:cat>
          <c:val>
            <c:numRef>
              <c:f>' Pivot Tables'!$C$30:$C$32</c:f>
              <c:numCache>
                <c:formatCode>General</c:formatCode>
                <c:ptCount val="2"/>
                <c:pt idx="0">
                  <c:v>14</c:v>
                </c:pt>
                <c:pt idx="1">
                  <c:v>86</c:v>
                </c:pt>
              </c:numCache>
            </c:numRef>
          </c:val>
          <c:extLst>
            <c:ext xmlns:c16="http://schemas.microsoft.com/office/drawing/2014/chart" uri="{C3380CC4-5D6E-409C-BE32-E72D297353CC}">
              <c16:uniqueId val="{00000001-2F11-4189-8551-A082A6CE21A2}"/>
            </c:ext>
          </c:extLst>
        </c:ser>
        <c:ser>
          <c:idx val="2"/>
          <c:order val="2"/>
          <c:tx>
            <c:strRef>
              <c:f>' Pivot Tables'!$D$28:$D$29</c:f>
              <c:strCache>
                <c:ptCount val="1"/>
                <c:pt idx="0">
                  <c:v>PAIDOFF</c:v>
                </c:pt>
              </c:strCache>
            </c:strRef>
          </c:tx>
          <c:spPr>
            <a:solidFill>
              <a:schemeClr val="accent3"/>
            </a:solidFill>
            <a:ln>
              <a:noFill/>
            </a:ln>
            <a:effectLst/>
          </c:spPr>
          <c:invertIfNegative val="0"/>
          <c:cat>
            <c:strRef>
              <c:f>' Pivot Tables'!$A$30:$A$32</c:f>
              <c:strCache>
                <c:ptCount val="2"/>
                <c:pt idx="0">
                  <c:v>female</c:v>
                </c:pt>
                <c:pt idx="1">
                  <c:v>male</c:v>
                </c:pt>
              </c:strCache>
            </c:strRef>
          </c:cat>
          <c:val>
            <c:numRef>
              <c:f>' Pivot Tables'!$D$30:$D$32</c:f>
              <c:numCache>
                <c:formatCode>General</c:formatCode>
                <c:ptCount val="2"/>
                <c:pt idx="0">
                  <c:v>53</c:v>
                </c:pt>
                <c:pt idx="1">
                  <c:v>247</c:v>
                </c:pt>
              </c:numCache>
            </c:numRef>
          </c:val>
          <c:extLst>
            <c:ext xmlns:c16="http://schemas.microsoft.com/office/drawing/2014/chart" uri="{C3380CC4-5D6E-409C-BE32-E72D297353CC}">
              <c16:uniqueId val="{00000004-2F11-4189-8551-A082A6CE21A2}"/>
            </c:ext>
          </c:extLst>
        </c:ser>
        <c:dLbls>
          <c:showLegendKey val="0"/>
          <c:showVal val="0"/>
          <c:showCatName val="0"/>
          <c:showSerName val="0"/>
          <c:showPercent val="0"/>
          <c:showBubbleSize val="0"/>
        </c:dLbls>
        <c:gapWidth val="219"/>
        <c:overlap val="-27"/>
        <c:axId val="627278160"/>
        <c:axId val="554051808"/>
      </c:barChart>
      <c:catAx>
        <c:axId val="6272781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4051808"/>
        <c:crosses val="autoZero"/>
        <c:auto val="1"/>
        <c:lblAlgn val="ctr"/>
        <c:lblOffset val="100"/>
        <c:noMultiLvlLbl val="0"/>
      </c:catAx>
      <c:valAx>
        <c:axId val="5540518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72781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15875" cap="flat" cmpd="sng" algn="ctr">
      <a:solidFill>
        <a:schemeClr val="bg1">
          <a:lumMod val="6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[Loan Payment Project.xlsx] Pivot Tables!PivotTable4</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Loans</a:t>
            </a:r>
            <a:r>
              <a:rPr lang="en-US" baseline="0"/>
              <a:t> Taken Per Age Group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1035035828558658E-2"/>
          <c:y val="0.15406022845275183"/>
          <c:w val="0.64353524368589865"/>
          <c:h val="0.66742348795185646"/>
        </c:manualLayout>
      </c:layout>
      <c:barChart>
        <c:barDir val="col"/>
        <c:grouping val="clustered"/>
        <c:varyColors val="0"/>
        <c:ser>
          <c:idx val="0"/>
          <c:order val="0"/>
          <c:tx>
            <c:strRef>
              <c:f>' Pivot Tables'!$B$42</c:f>
              <c:strCache>
                <c:ptCount val="1"/>
                <c:pt idx="0">
                  <c:v>Sum of Principal</c:v>
                </c:pt>
              </c:strCache>
            </c:strRef>
          </c:tx>
          <c:spPr>
            <a:solidFill>
              <a:schemeClr val="accent1"/>
            </a:solidFill>
            <a:ln w="19050">
              <a:solidFill>
                <a:schemeClr val="lt1"/>
              </a:solidFill>
            </a:ln>
            <a:effectLst/>
          </c:spPr>
          <c:invertIfNegative val="0"/>
          <c:cat>
            <c:strRef>
              <c:f>' Pivot Tables'!$A$43:$A$47</c:f>
              <c:strCache>
                <c:ptCount val="4"/>
                <c:pt idx="0">
                  <c:v> Young Adults</c:v>
                </c:pt>
                <c:pt idx="1">
                  <c:v>Mature</c:v>
                </c:pt>
                <c:pt idx="2">
                  <c:v>Middle Aged</c:v>
                </c:pt>
                <c:pt idx="3">
                  <c:v>Old</c:v>
                </c:pt>
              </c:strCache>
            </c:strRef>
          </c:cat>
          <c:val>
            <c:numRef>
              <c:f>' Pivot Tables'!$B$43:$B$47</c:f>
              <c:numCache>
                <c:formatCode>General</c:formatCode>
                <c:ptCount val="4"/>
                <c:pt idx="0">
                  <c:v>70700</c:v>
                </c:pt>
                <c:pt idx="1">
                  <c:v>141600</c:v>
                </c:pt>
                <c:pt idx="2">
                  <c:v>254700</c:v>
                </c:pt>
                <c:pt idx="3">
                  <c:v>4600</c:v>
                </c:pt>
              </c:numCache>
            </c:numRef>
          </c:val>
          <c:extLst>
            <c:ext xmlns:c16="http://schemas.microsoft.com/office/drawing/2014/chart" uri="{C3380CC4-5D6E-409C-BE32-E72D297353CC}">
              <c16:uniqueId val="{00000000-1452-43AE-BDB4-227167905ADB}"/>
            </c:ext>
          </c:extLst>
        </c:ser>
        <c:dLbls>
          <c:showLegendKey val="0"/>
          <c:showVal val="0"/>
          <c:showCatName val="0"/>
          <c:showSerName val="0"/>
          <c:showPercent val="0"/>
          <c:showBubbleSize val="0"/>
        </c:dLbls>
        <c:gapWidth val="150"/>
        <c:axId val="740236800"/>
        <c:axId val="316305536"/>
      </c:barChart>
      <c:lineChart>
        <c:grouping val="standard"/>
        <c:varyColors val="0"/>
        <c:ser>
          <c:idx val="1"/>
          <c:order val="1"/>
          <c:tx>
            <c:strRef>
              <c:f>' Pivot Tables'!$C$42</c:f>
              <c:strCache>
                <c:ptCount val="1"/>
                <c:pt idx="0">
                  <c:v>Count of Loan_ID</c:v>
                </c:pt>
              </c:strCache>
            </c:strRef>
          </c:tx>
          <c:spPr>
            <a:ln w="28575" cap="rnd">
              <a:solidFill>
                <a:schemeClr val="accent2"/>
              </a:solidFill>
              <a:round/>
            </a:ln>
            <a:effectLst/>
          </c:spPr>
          <c:marker>
            <c:symbol val="none"/>
          </c:marker>
          <c:cat>
            <c:strRef>
              <c:f>' Pivot Tables'!$A$43:$A$47</c:f>
              <c:strCache>
                <c:ptCount val="4"/>
                <c:pt idx="0">
                  <c:v> Young Adults</c:v>
                </c:pt>
                <c:pt idx="1">
                  <c:v>Mature</c:v>
                </c:pt>
                <c:pt idx="2">
                  <c:v>Middle Aged</c:v>
                </c:pt>
                <c:pt idx="3">
                  <c:v>Old</c:v>
                </c:pt>
              </c:strCache>
            </c:strRef>
          </c:cat>
          <c:val>
            <c:numRef>
              <c:f>' Pivot Tables'!$C$43:$C$47</c:f>
              <c:numCache>
                <c:formatCode>General</c:formatCode>
                <c:ptCount val="4"/>
                <c:pt idx="0">
                  <c:v>75</c:v>
                </c:pt>
                <c:pt idx="1">
                  <c:v>153</c:v>
                </c:pt>
                <c:pt idx="2">
                  <c:v>267</c:v>
                </c:pt>
                <c:pt idx="3">
                  <c:v>5</c:v>
                </c:pt>
              </c:numCache>
            </c:numRef>
          </c:val>
          <c:smooth val="0"/>
          <c:extLst>
            <c:ext xmlns:c16="http://schemas.microsoft.com/office/drawing/2014/chart" uri="{C3380CC4-5D6E-409C-BE32-E72D297353CC}">
              <c16:uniqueId val="{00000001-1452-43AE-BDB4-227167905ADB}"/>
            </c:ext>
          </c:extLst>
        </c:ser>
        <c:dLbls>
          <c:showLegendKey val="0"/>
          <c:showVal val="0"/>
          <c:showCatName val="0"/>
          <c:showSerName val="0"/>
          <c:showPercent val="0"/>
          <c:showBubbleSize val="0"/>
        </c:dLbls>
        <c:marker val="1"/>
        <c:smooth val="0"/>
        <c:axId val="740232800"/>
        <c:axId val="750567072"/>
      </c:lineChart>
      <c:valAx>
        <c:axId val="3163055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0236800"/>
        <c:crosses val="autoZero"/>
        <c:crossBetween val="between"/>
        <c:minorUnit val="1000"/>
      </c:valAx>
      <c:catAx>
        <c:axId val="74023680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6305536"/>
        <c:crosses val="autoZero"/>
        <c:auto val="1"/>
        <c:lblAlgn val="ctr"/>
        <c:lblOffset val="100"/>
        <c:noMultiLvlLbl val="0"/>
      </c:catAx>
      <c:valAx>
        <c:axId val="750567072"/>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0232800"/>
        <c:crosses val="max"/>
        <c:crossBetween val="between"/>
      </c:valAx>
      <c:catAx>
        <c:axId val="740232800"/>
        <c:scaling>
          <c:orientation val="minMax"/>
        </c:scaling>
        <c:delete val="1"/>
        <c:axPos val="b"/>
        <c:numFmt formatCode="General" sourceLinked="1"/>
        <c:majorTickMark val="out"/>
        <c:minorTickMark val="none"/>
        <c:tickLblPos val="nextTo"/>
        <c:crossAx val="750567072"/>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15875" cap="flat" cmpd="sng" algn="ctr">
      <a:solidFill>
        <a:schemeClr val="bg1">
          <a:lumMod val="6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[Loan Payment Project.xlsx] Pivot Tables!PivotTable5</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Loan Status</a:t>
            </a:r>
            <a:r>
              <a:rPr lang="en-US" baseline="0"/>
              <a:t> Analysis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 Pivot Tables'!$B$62</c:f>
              <c:strCache>
                <c:ptCount val="1"/>
                <c:pt idx="0">
                  <c:v>Count of Loan_ID</c:v>
                </c:pt>
              </c:strCache>
            </c:strRef>
          </c:tx>
          <c:spPr>
            <a:ln w="28575" cap="rnd">
              <a:solidFill>
                <a:schemeClr val="accent1"/>
              </a:solidFill>
              <a:round/>
            </a:ln>
            <a:effectLst/>
          </c:spPr>
          <c:marker>
            <c:symbol val="none"/>
          </c:marker>
          <c:cat>
            <c:strRef>
              <c:f>' Pivot Tables'!$A$63:$A$66</c:f>
              <c:strCache>
                <c:ptCount val="3"/>
                <c:pt idx="0">
                  <c:v>COLLECTION</c:v>
                </c:pt>
                <c:pt idx="1">
                  <c:v>COLLECTION_PAIDOFF</c:v>
                </c:pt>
                <c:pt idx="2">
                  <c:v>PAIDOFF</c:v>
                </c:pt>
              </c:strCache>
            </c:strRef>
          </c:cat>
          <c:val>
            <c:numRef>
              <c:f>' Pivot Tables'!$B$63:$B$66</c:f>
              <c:numCache>
                <c:formatCode>General</c:formatCode>
                <c:ptCount val="3"/>
                <c:pt idx="0">
                  <c:v>100</c:v>
                </c:pt>
                <c:pt idx="1">
                  <c:v>100</c:v>
                </c:pt>
                <c:pt idx="2">
                  <c:v>300</c:v>
                </c:pt>
              </c:numCache>
            </c:numRef>
          </c:val>
          <c:smooth val="0"/>
          <c:extLst>
            <c:ext xmlns:c16="http://schemas.microsoft.com/office/drawing/2014/chart" uri="{C3380CC4-5D6E-409C-BE32-E72D297353CC}">
              <c16:uniqueId val="{00000000-529C-4885-A460-F75F471041F6}"/>
            </c:ext>
          </c:extLst>
        </c:ser>
        <c:ser>
          <c:idx val="1"/>
          <c:order val="1"/>
          <c:tx>
            <c:strRef>
              <c:f>' Pivot Tables'!$C$62</c:f>
              <c:strCache>
                <c:ptCount val="1"/>
                <c:pt idx="0">
                  <c:v>Sum of Principal</c:v>
                </c:pt>
              </c:strCache>
            </c:strRef>
          </c:tx>
          <c:spPr>
            <a:ln w="28575" cap="rnd">
              <a:solidFill>
                <a:schemeClr val="accent2"/>
              </a:solidFill>
              <a:round/>
            </a:ln>
            <a:effectLst/>
          </c:spPr>
          <c:marker>
            <c:symbol val="none"/>
          </c:marker>
          <c:cat>
            <c:strRef>
              <c:f>' Pivot Tables'!$A$63:$A$66</c:f>
              <c:strCache>
                <c:ptCount val="3"/>
                <c:pt idx="0">
                  <c:v>COLLECTION</c:v>
                </c:pt>
                <c:pt idx="1">
                  <c:v>COLLECTION_PAIDOFF</c:v>
                </c:pt>
                <c:pt idx="2">
                  <c:v>PAIDOFF</c:v>
                </c:pt>
              </c:strCache>
            </c:strRef>
          </c:cat>
          <c:val>
            <c:numRef>
              <c:f>' Pivot Tables'!$C$63:$C$66</c:f>
              <c:numCache>
                <c:formatCode>General</c:formatCode>
                <c:ptCount val="3"/>
                <c:pt idx="0">
                  <c:v>95400</c:v>
                </c:pt>
                <c:pt idx="1">
                  <c:v>95700</c:v>
                </c:pt>
                <c:pt idx="2">
                  <c:v>280500</c:v>
                </c:pt>
              </c:numCache>
            </c:numRef>
          </c:val>
          <c:smooth val="0"/>
          <c:extLst>
            <c:ext xmlns:c16="http://schemas.microsoft.com/office/drawing/2014/chart" uri="{C3380CC4-5D6E-409C-BE32-E72D297353CC}">
              <c16:uniqueId val="{00000001-529C-4885-A460-F75F471041F6}"/>
            </c:ext>
          </c:extLst>
        </c:ser>
        <c:dLbls>
          <c:showLegendKey val="0"/>
          <c:showVal val="0"/>
          <c:showCatName val="0"/>
          <c:showSerName val="0"/>
          <c:showPercent val="0"/>
          <c:showBubbleSize val="0"/>
        </c:dLbls>
        <c:smooth val="0"/>
        <c:axId val="786809360"/>
        <c:axId val="750552096"/>
      </c:lineChart>
      <c:catAx>
        <c:axId val="78680936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0552096"/>
        <c:crosses val="autoZero"/>
        <c:auto val="1"/>
        <c:lblAlgn val="ctr"/>
        <c:lblOffset val="100"/>
        <c:noMultiLvlLbl val="0"/>
      </c:catAx>
      <c:valAx>
        <c:axId val="7505520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68093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15875" cap="flat" cmpd="sng" algn="ctr">
      <a:solidFill>
        <a:schemeClr val="bg1">
          <a:lumMod val="6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[Loan Payment Project.xlsx] Pivot Tables!PivotTable1</c:name>
    <c:fmtId val="2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Daily Loan</a:t>
            </a:r>
            <a:r>
              <a:rPr lang="en-US" baseline="0"/>
              <a:t> Analysis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s>
    <c:plotArea>
      <c:layout/>
      <c:pieChart>
        <c:varyColors val="1"/>
        <c:ser>
          <c:idx val="0"/>
          <c:order val="0"/>
          <c:tx>
            <c:strRef>
              <c:f>' Pivot Tables'!$B$8</c:f>
              <c:strCache>
                <c:ptCount val="1"/>
                <c:pt idx="0">
                  <c:v>Count of Loan_ID</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62F-49F1-9AC3-66DD287B8E0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62F-49F1-9AC3-66DD287B8E0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62F-49F1-9AC3-66DD287B8E0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62F-49F1-9AC3-66DD287B8E0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262F-49F1-9AC3-66DD287B8E0D}"/>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262F-49F1-9AC3-66DD287B8E0D}"/>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262F-49F1-9AC3-66DD287B8E0D}"/>
              </c:ext>
            </c:extLst>
          </c:dPt>
          <c:cat>
            <c:strRef>
              <c:f>' Pivot Tables'!$A$9:$A$16</c:f>
              <c:strCache>
                <c:ptCount val="7"/>
                <c:pt idx="0">
                  <c:v>9/13/2016</c:v>
                </c:pt>
                <c:pt idx="1">
                  <c:v>9/14/2016</c:v>
                </c:pt>
                <c:pt idx="2">
                  <c:v>09/08/2016</c:v>
                </c:pt>
                <c:pt idx="3">
                  <c:v>09/09/2016</c:v>
                </c:pt>
                <c:pt idx="4">
                  <c:v>09/10/2016</c:v>
                </c:pt>
                <c:pt idx="5">
                  <c:v>09/11/2016</c:v>
                </c:pt>
                <c:pt idx="6">
                  <c:v>09/12/2016</c:v>
                </c:pt>
              </c:strCache>
            </c:strRef>
          </c:cat>
          <c:val>
            <c:numRef>
              <c:f>' Pivot Tables'!$B$9:$B$16</c:f>
              <c:numCache>
                <c:formatCode>General</c:formatCode>
                <c:ptCount val="7"/>
                <c:pt idx="0">
                  <c:v>23</c:v>
                </c:pt>
                <c:pt idx="1">
                  <c:v>33</c:v>
                </c:pt>
                <c:pt idx="2">
                  <c:v>4</c:v>
                </c:pt>
                <c:pt idx="3">
                  <c:v>15</c:v>
                </c:pt>
                <c:pt idx="4">
                  <c:v>46</c:v>
                </c:pt>
                <c:pt idx="5">
                  <c:v>231</c:v>
                </c:pt>
                <c:pt idx="6">
                  <c:v>148</c:v>
                </c:pt>
              </c:numCache>
            </c:numRef>
          </c:val>
          <c:extLst>
            <c:ext xmlns:c16="http://schemas.microsoft.com/office/drawing/2014/chart" uri="{C3380CC4-5D6E-409C-BE32-E72D297353CC}">
              <c16:uniqueId val="{0000000E-262F-49F1-9AC3-66DD287B8E0D}"/>
            </c:ext>
          </c:extLst>
        </c:ser>
        <c:ser>
          <c:idx val="1"/>
          <c:order val="1"/>
          <c:tx>
            <c:strRef>
              <c:f>' Pivot Tables'!$C$8</c:f>
              <c:strCache>
                <c:ptCount val="1"/>
                <c:pt idx="0">
                  <c:v>Sum of Principal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0-262F-49F1-9AC3-66DD287B8E0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2-262F-49F1-9AC3-66DD287B8E0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4-262F-49F1-9AC3-66DD287B8E0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6-262F-49F1-9AC3-66DD287B8E0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8-262F-49F1-9AC3-66DD287B8E0D}"/>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1A-262F-49F1-9AC3-66DD287B8E0D}"/>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1C-262F-49F1-9AC3-66DD287B8E0D}"/>
              </c:ext>
            </c:extLst>
          </c:dPt>
          <c:cat>
            <c:strRef>
              <c:f>' Pivot Tables'!$A$9:$A$16</c:f>
              <c:strCache>
                <c:ptCount val="7"/>
                <c:pt idx="0">
                  <c:v>9/13/2016</c:v>
                </c:pt>
                <c:pt idx="1">
                  <c:v>9/14/2016</c:v>
                </c:pt>
                <c:pt idx="2">
                  <c:v>09/08/2016</c:v>
                </c:pt>
                <c:pt idx="3">
                  <c:v>09/09/2016</c:v>
                </c:pt>
                <c:pt idx="4">
                  <c:v>09/10/2016</c:v>
                </c:pt>
                <c:pt idx="5">
                  <c:v>09/11/2016</c:v>
                </c:pt>
                <c:pt idx="6">
                  <c:v>09/12/2016</c:v>
                </c:pt>
              </c:strCache>
            </c:strRef>
          </c:cat>
          <c:val>
            <c:numRef>
              <c:f>' Pivot Tables'!$C$9:$C$16</c:f>
              <c:numCache>
                <c:formatCode>General</c:formatCode>
                <c:ptCount val="7"/>
                <c:pt idx="0">
                  <c:v>20900</c:v>
                </c:pt>
                <c:pt idx="1">
                  <c:v>31400</c:v>
                </c:pt>
                <c:pt idx="2">
                  <c:v>4000</c:v>
                </c:pt>
                <c:pt idx="3">
                  <c:v>13700</c:v>
                </c:pt>
                <c:pt idx="4">
                  <c:v>43200</c:v>
                </c:pt>
                <c:pt idx="5">
                  <c:v>219000</c:v>
                </c:pt>
                <c:pt idx="6">
                  <c:v>139400</c:v>
                </c:pt>
              </c:numCache>
            </c:numRef>
          </c:val>
          <c:extLst>
            <c:ext xmlns:c16="http://schemas.microsoft.com/office/drawing/2014/chart" uri="{C3380CC4-5D6E-409C-BE32-E72D297353CC}">
              <c16:uniqueId val="{0000001D-262F-49F1-9AC3-66DD287B8E0D}"/>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75763888888888886"/>
          <c:y val="0.1980511205330103"/>
          <c:w val="0.22569444444444448"/>
          <c:h val="0.7090561679790025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15875" cap="flat" cmpd="sng" algn="ctr">
      <a:solidFill>
        <a:schemeClr val="bg1">
          <a:lumMod val="6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[Loan Payment Project.xlsx] Pivot Tables!PivotTable3</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Loan Status Per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4953366188526577E-2"/>
          <c:y val="0.20814288457845209"/>
          <c:w val="0.64206002599536316"/>
          <c:h val="0.60907016196146202"/>
        </c:manualLayout>
      </c:layout>
      <c:barChart>
        <c:barDir val="col"/>
        <c:grouping val="clustered"/>
        <c:varyColors val="0"/>
        <c:ser>
          <c:idx val="0"/>
          <c:order val="0"/>
          <c:tx>
            <c:strRef>
              <c:f>' Pivot Tables'!$B$28:$B$29</c:f>
              <c:strCache>
                <c:ptCount val="1"/>
                <c:pt idx="0">
                  <c:v>COLLECTION</c:v>
                </c:pt>
              </c:strCache>
            </c:strRef>
          </c:tx>
          <c:spPr>
            <a:solidFill>
              <a:schemeClr val="accent1"/>
            </a:solidFill>
            <a:ln>
              <a:noFill/>
            </a:ln>
            <a:effectLst/>
          </c:spPr>
          <c:invertIfNegative val="0"/>
          <c:cat>
            <c:strRef>
              <c:f>' Pivot Tables'!$A$30:$A$32</c:f>
              <c:strCache>
                <c:ptCount val="2"/>
                <c:pt idx="0">
                  <c:v>female</c:v>
                </c:pt>
                <c:pt idx="1">
                  <c:v>male</c:v>
                </c:pt>
              </c:strCache>
            </c:strRef>
          </c:cat>
          <c:val>
            <c:numRef>
              <c:f>' Pivot Tables'!$B$30:$B$32</c:f>
              <c:numCache>
                <c:formatCode>General</c:formatCode>
                <c:ptCount val="2"/>
                <c:pt idx="0">
                  <c:v>10</c:v>
                </c:pt>
                <c:pt idx="1">
                  <c:v>90</c:v>
                </c:pt>
              </c:numCache>
            </c:numRef>
          </c:val>
          <c:extLst>
            <c:ext xmlns:c16="http://schemas.microsoft.com/office/drawing/2014/chart" uri="{C3380CC4-5D6E-409C-BE32-E72D297353CC}">
              <c16:uniqueId val="{00000000-4560-4D76-8E36-F33B9DDD8118}"/>
            </c:ext>
          </c:extLst>
        </c:ser>
        <c:ser>
          <c:idx val="1"/>
          <c:order val="1"/>
          <c:tx>
            <c:strRef>
              <c:f>' Pivot Tables'!$C$28:$C$29</c:f>
              <c:strCache>
                <c:ptCount val="1"/>
                <c:pt idx="0">
                  <c:v>COLLECTION_PAIDOFF</c:v>
                </c:pt>
              </c:strCache>
            </c:strRef>
          </c:tx>
          <c:spPr>
            <a:solidFill>
              <a:schemeClr val="accent2"/>
            </a:solidFill>
            <a:ln>
              <a:noFill/>
            </a:ln>
            <a:effectLst/>
          </c:spPr>
          <c:invertIfNegative val="0"/>
          <c:cat>
            <c:strRef>
              <c:f>' Pivot Tables'!$A$30:$A$32</c:f>
              <c:strCache>
                <c:ptCount val="2"/>
                <c:pt idx="0">
                  <c:v>female</c:v>
                </c:pt>
                <c:pt idx="1">
                  <c:v>male</c:v>
                </c:pt>
              </c:strCache>
            </c:strRef>
          </c:cat>
          <c:val>
            <c:numRef>
              <c:f>' Pivot Tables'!$C$30:$C$32</c:f>
              <c:numCache>
                <c:formatCode>General</c:formatCode>
                <c:ptCount val="2"/>
                <c:pt idx="0">
                  <c:v>14</c:v>
                </c:pt>
                <c:pt idx="1">
                  <c:v>86</c:v>
                </c:pt>
              </c:numCache>
            </c:numRef>
          </c:val>
          <c:extLst>
            <c:ext xmlns:c16="http://schemas.microsoft.com/office/drawing/2014/chart" uri="{C3380CC4-5D6E-409C-BE32-E72D297353CC}">
              <c16:uniqueId val="{00000001-4560-4D76-8E36-F33B9DDD8118}"/>
            </c:ext>
          </c:extLst>
        </c:ser>
        <c:ser>
          <c:idx val="2"/>
          <c:order val="2"/>
          <c:tx>
            <c:strRef>
              <c:f>' Pivot Tables'!$D$28:$D$29</c:f>
              <c:strCache>
                <c:ptCount val="1"/>
                <c:pt idx="0">
                  <c:v>PAIDOFF</c:v>
                </c:pt>
              </c:strCache>
            </c:strRef>
          </c:tx>
          <c:spPr>
            <a:solidFill>
              <a:schemeClr val="accent3"/>
            </a:solidFill>
            <a:ln>
              <a:noFill/>
            </a:ln>
            <a:effectLst/>
          </c:spPr>
          <c:invertIfNegative val="0"/>
          <c:cat>
            <c:strRef>
              <c:f>' Pivot Tables'!$A$30:$A$32</c:f>
              <c:strCache>
                <c:ptCount val="2"/>
                <c:pt idx="0">
                  <c:v>female</c:v>
                </c:pt>
                <c:pt idx="1">
                  <c:v>male</c:v>
                </c:pt>
              </c:strCache>
            </c:strRef>
          </c:cat>
          <c:val>
            <c:numRef>
              <c:f>' Pivot Tables'!$D$30:$D$32</c:f>
              <c:numCache>
                <c:formatCode>General</c:formatCode>
                <c:ptCount val="2"/>
                <c:pt idx="0">
                  <c:v>53</c:v>
                </c:pt>
                <c:pt idx="1">
                  <c:v>247</c:v>
                </c:pt>
              </c:numCache>
            </c:numRef>
          </c:val>
          <c:extLst>
            <c:ext xmlns:c16="http://schemas.microsoft.com/office/drawing/2014/chart" uri="{C3380CC4-5D6E-409C-BE32-E72D297353CC}">
              <c16:uniqueId val="{00000004-4560-4D76-8E36-F33B9DDD8118}"/>
            </c:ext>
          </c:extLst>
        </c:ser>
        <c:dLbls>
          <c:showLegendKey val="0"/>
          <c:showVal val="0"/>
          <c:showCatName val="0"/>
          <c:showSerName val="0"/>
          <c:showPercent val="0"/>
          <c:showBubbleSize val="0"/>
        </c:dLbls>
        <c:gapWidth val="219"/>
        <c:overlap val="-27"/>
        <c:axId val="627278160"/>
        <c:axId val="554051808"/>
      </c:barChart>
      <c:catAx>
        <c:axId val="6272781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4051808"/>
        <c:crosses val="autoZero"/>
        <c:auto val="1"/>
        <c:lblAlgn val="ctr"/>
        <c:lblOffset val="100"/>
        <c:noMultiLvlLbl val="0"/>
      </c:catAx>
      <c:valAx>
        <c:axId val="5540518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72781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15875" cap="flat" cmpd="sng" algn="ctr">
      <a:solidFill>
        <a:schemeClr val="bg1">
          <a:lumMod val="6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[Loan Payment Project.xlsx] Pivot Tables!PivotTable4</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Loans</a:t>
            </a:r>
            <a:r>
              <a:rPr lang="en-US" baseline="0"/>
              <a:t> Taken Per Age Group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1035035828558658E-2"/>
          <c:y val="0.15406022845275183"/>
          <c:w val="0.64353524368589865"/>
          <c:h val="0.66742348795185646"/>
        </c:manualLayout>
      </c:layout>
      <c:barChart>
        <c:barDir val="col"/>
        <c:grouping val="clustered"/>
        <c:varyColors val="0"/>
        <c:ser>
          <c:idx val="0"/>
          <c:order val="0"/>
          <c:tx>
            <c:strRef>
              <c:f>' Pivot Tables'!$B$42</c:f>
              <c:strCache>
                <c:ptCount val="1"/>
                <c:pt idx="0">
                  <c:v>Sum of Principal</c:v>
                </c:pt>
              </c:strCache>
            </c:strRef>
          </c:tx>
          <c:spPr>
            <a:solidFill>
              <a:schemeClr val="accent1"/>
            </a:solidFill>
            <a:ln w="19050">
              <a:solidFill>
                <a:schemeClr val="lt1"/>
              </a:solidFill>
            </a:ln>
            <a:effectLst/>
          </c:spPr>
          <c:invertIfNegative val="0"/>
          <c:cat>
            <c:strRef>
              <c:f>' Pivot Tables'!$A$43:$A$47</c:f>
              <c:strCache>
                <c:ptCount val="4"/>
                <c:pt idx="0">
                  <c:v> Young Adults</c:v>
                </c:pt>
                <c:pt idx="1">
                  <c:v>Mature</c:v>
                </c:pt>
                <c:pt idx="2">
                  <c:v>Middle Aged</c:v>
                </c:pt>
                <c:pt idx="3">
                  <c:v>Old</c:v>
                </c:pt>
              </c:strCache>
            </c:strRef>
          </c:cat>
          <c:val>
            <c:numRef>
              <c:f>' Pivot Tables'!$B$43:$B$47</c:f>
              <c:numCache>
                <c:formatCode>General</c:formatCode>
                <c:ptCount val="4"/>
                <c:pt idx="0">
                  <c:v>70700</c:v>
                </c:pt>
                <c:pt idx="1">
                  <c:v>141600</c:v>
                </c:pt>
                <c:pt idx="2">
                  <c:v>254700</c:v>
                </c:pt>
                <c:pt idx="3">
                  <c:v>4600</c:v>
                </c:pt>
              </c:numCache>
            </c:numRef>
          </c:val>
          <c:extLst>
            <c:ext xmlns:c16="http://schemas.microsoft.com/office/drawing/2014/chart" uri="{C3380CC4-5D6E-409C-BE32-E72D297353CC}">
              <c16:uniqueId val="{00000000-E565-4100-A82C-3AE892732978}"/>
            </c:ext>
          </c:extLst>
        </c:ser>
        <c:dLbls>
          <c:showLegendKey val="0"/>
          <c:showVal val="0"/>
          <c:showCatName val="0"/>
          <c:showSerName val="0"/>
          <c:showPercent val="0"/>
          <c:showBubbleSize val="0"/>
        </c:dLbls>
        <c:gapWidth val="150"/>
        <c:axId val="740236800"/>
        <c:axId val="316305536"/>
      </c:barChart>
      <c:lineChart>
        <c:grouping val="standard"/>
        <c:varyColors val="0"/>
        <c:ser>
          <c:idx val="1"/>
          <c:order val="1"/>
          <c:tx>
            <c:strRef>
              <c:f>' Pivot Tables'!$C$42</c:f>
              <c:strCache>
                <c:ptCount val="1"/>
                <c:pt idx="0">
                  <c:v>Count of Loan_ID</c:v>
                </c:pt>
              </c:strCache>
            </c:strRef>
          </c:tx>
          <c:spPr>
            <a:ln w="28575" cap="rnd">
              <a:solidFill>
                <a:schemeClr val="accent2"/>
              </a:solidFill>
              <a:round/>
            </a:ln>
            <a:effectLst/>
          </c:spPr>
          <c:marker>
            <c:symbol val="none"/>
          </c:marker>
          <c:cat>
            <c:strRef>
              <c:f>' Pivot Tables'!$A$43:$A$47</c:f>
              <c:strCache>
                <c:ptCount val="4"/>
                <c:pt idx="0">
                  <c:v> Young Adults</c:v>
                </c:pt>
                <c:pt idx="1">
                  <c:v>Mature</c:v>
                </c:pt>
                <c:pt idx="2">
                  <c:v>Middle Aged</c:v>
                </c:pt>
                <c:pt idx="3">
                  <c:v>Old</c:v>
                </c:pt>
              </c:strCache>
            </c:strRef>
          </c:cat>
          <c:val>
            <c:numRef>
              <c:f>' Pivot Tables'!$C$43:$C$47</c:f>
              <c:numCache>
                <c:formatCode>General</c:formatCode>
                <c:ptCount val="4"/>
                <c:pt idx="0">
                  <c:v>75</c:v>
                </c:pt>
                <c:pt idx="1">
                  <c:v>153</c:v>
                </c:pt>
                <c:pt idx="2">
                  <c:v>267</c:v>
                </c:pt>
                <c:pt idx="3">
                  <c:v>5</c:v>
                </c:pt>
              </c:numCache>
            </c:numRef>
          </c:val>
          <c:smooth val="0"/>
          <c:extLst>
            <c:ext xmlns:c16="http://schemas.microsoft.com/office/drawing/2014/chart" uri="{C3380CC4-5D6E-409C-BE32-E72D297353CC}">
              <c16:uniqueId val="{00000001-E565-4100-A82C-3AE892732978}"/>
            </c:ext>
          </c:extLst>
        </c:ser>
        <c:dLbls>
          <c:showLegendKey val="0"/>
          <c:showVal val="0"/>
          <c:showCatName val="0"/>
          <c:showSerName val="0"/>
          <c:showPercent val="0"/>
          <c:showBubbleSize val="0"/>
        </c:dLbls>
        <c:marker val="1"/>
        <c:smooth val="0"/>
        <c:axId val="740232800"/>
        <c:axId val="750567072"/>
      </c:lineChart>
      <c:valAx>
        <c:axId val="3163055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0236800"/>
        <c:crosses val="autoZero"/>
        <c:crossBetween val="between"/>
        <c:minorUnit val="1000"/>
      </c:valAx>
      <c:catAx>
        <c:axId val="74023680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6305536"/>
        <c:crosses val="autoZero"/>
        <c:auto val="1"/>
        <c:lblAlgn val="ctr"/>
        <c:lblOffset val="100"/>
        <c:noMultiLvlLbl val="0"/>
      </c:catAx>
      <c:valAx>
        <c:axId val="750567072"/>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0232800"/>
        <c:crosses val="max"/>
        <c:crossBetween val="between"/>
      </c:valAx>
      <c:catAx>
        <c:axId val="740232800"/>
        <c:scaling>
          <c:orientation val="minMax"/>
        </c:scaling>
        <c:delete val="1"/>
        <c:axPos val="b"/>
        <c:numFmt formatCode="General" sourceLinked="1"/>
        <c:majorTickMark val="out"/>
        <c:minorTickMark val="none"/>
        <c:tickLblPos val="nextTo"/>
        <c:crossAx val="750567072"/>
        <c:crosses val="autoZero"/>
        <c:auto val="1"/>
        <c:lblAlgn val="ctr"/>
        <c:lblOffset val="100"/>
        <c:noMultiLvlLbl val="0"/>
      </c:catAx>
      <c:spPr>
        <a:noFill/>
        <a:ln>
          <a:noFill/>
        </a:ln>
        <a:effectLst/>
      </c:spPr>
    </c:plotArea>
    <c:legend>
      <c:legendPos val="r"/>
      <c:layout>
        <c:manualLayout>
          <c:xMode val="edge"/>
          <c:yMode val="edge"/>
          <c:x val="0.81604501122861905"/>
          <c:y val="0.25420019415381295"/>
          <c:w val="0.17088309558899087"/>
          <c:h val="0.3824211699564951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15875" cap="flat" cmpd="sng" algn="ctr">
      <a:solidFill>
        <a:schemeClr val="bg1">
          <a:lumMod val="6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[Loan Payment Project.xlsx] Pivot Tables!PivotTable5</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Loan Status</a:t>
            </a:r>
            <a:r>
              <a:rPr lang="en-US" baseline="0"/>
              <a:t> Analysis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 Pivot Tables'!$B$62</c:f>
              <c:strCache>
                <c:ptCount val="1"/>
                <c:pt idx="0">
                  <c:v>Count of Loan_ID</c:v>
                </c:pt>
              </c:strCache>
            </c:strRef>
          </c:tx>
          <c:spPr>
            <a:ln w="28575" cap="rnd">
              <a:solidFill>
                <a:schemeClr val="accent1"/>
              </a:solidFill>
              <a:round/>
            </a:ln>
            <a:effectLst/>
          </c:spPr>
          <c:marker>
            <c:symbol val="none"/>
          </c:marker>
          <c:cat>
            <c:strRef>
              <c:f>' Pivot Tables'!$A$63:$A$66</c:f>
              <c:strCache>
                <c:ptCount val="3"/>
                <c:pt idx="0">
                  <c:v>COLLECTION</c:v>
                </c:pt>
                <c:pt idx="1">
                  <c:v>COLLECTION_PAIDOFF</c:v>
                </c:pt>
                <c:pt idx="2">
                  <c:v>PAIDOFF</c:v>
                </c:pt>
              </c:strCache>
            </c:strRef>
          </c:cat>
          <c:val>
            <c:numRef>
              <c:f>' Pivot Tables'!$B$63:$B$66</c:f>
              <c:numCache>
                <c:formatCode>General</c:formatCode>
                <c:ptCount val="3"/>
                <c:pt idx="0">
                  <c:v>100</c:v>
                </c:pt>
                <c:pt idx="1">
                  <c:v>100</c:v>
                </c:pt>
                <c:pt idx="2">
                  <c:v>300</c:v>
                </c:pt>
              </c:numCache>
            </c:numRef>
          </c:val>
          <c:smooth val="0"/>
          <c:extLst>
            <c:ext xmlns:c16="http://schemas.microsoft.com/office/drawing/2014/chart" uri="{C3380CC4-5D6E-409C-BE32-E72D297353CC}">
              <c16:uniqueId val="{00000000-CDE2-47A6-9818-15F6960F008D}"/>
            </c:ext>
          </c:extLst>
        </c:ser>
        <c:ser>
          <c:idx val="1"/>
          <c:order val="1"/>
          <c:tx>
            <c:strRef>
              <c:f>' Pivot Tables'!$C$62</c:f>
              <c:strCache>
                <c:ptCount val="1"/>
                <c:pt idx="0">
                  <c:v>Sum of Principal</c:v>
                </c:pt>
              </c:strCache>
            </c:strRef>
          </c:tx>
          <c:spPr>
            <a:ln w="28575" cap="rnd">
              <a:solidFill>
                <a:schemeClr val="accent2"/>
              </a:solidFill>
              <a:round/>
            </a:ln>
            <a:effectLst/>
          </c:spPr>
          <c:marker>
            <c:symbol val="none"/>
          </c:marker>
          <c:cat>
            <c:strRef>
              <c:f>' Pivot Tables'!$A$63:$A$66</c:f>
              <c:strCache>
                <c:ptCount val="3"/>
                <c:pt idx="0">
                  <c:v>COLLECTION</c:v>
                </c:pt>
                <c:pt idx="1">
                  <c:v>COLLECTION_PAIDOFF</c:v>
                </c:pt>
                <c:pt idx="2">
                  <c:v>PAIDOFF</c:v>
                </c:pt>
              </c:strCache>
            </c:strRef>
          </c:cat>
          <c:val>
            <c:numRef>
              <c:f>' Pivot Tables'!$C$63:$C$66</c:f>
              <c:numCache>
                <c:formatCode>General</c:formatCode>
                <c:ptCount val="3"/>
                <c:pt idx="0">
                  <c:v>95400</c:v>
                </c:pt>
                <c:pt idx="1">
                  <c:v>95700</c:v>
                </c:pt>
                <c:pt idx="2">
                  <c:v>280500</c:v>
                </c:pt>
              </c:numCache>
            </c:numRef>
          </c:val>
          <c:smooth val="0"/>
          <c:extLst>
            <c:ext xmlns:c16="http://schemas.microsoft.com/office/drawing/2014/chart" uri="{C3380CC4-5D6E-409C-BE32-E72D297353CC}">
              <c16:uniqueId val="{00000001-CDE2-47A6-9818-15F6960F008D}"/>
            </c:ext>
          </c:extLst>
        </c:ser>
        <c:dLbls>
          <c:showLegendKey val="0"/>
          <c:showVal val="0"/>
          <c:showCatName val="0"/>
          <c:showSerName val="0"/>
          <c:showPercent val="0"/>
          <c:showBubbleSize val="0"/>
        </c:dLbls>
        <c:smooth val="0"/>
        <c:axId val="786809360"/>
        <c:axId val="750552096"/>
      </c:lineChart>
      <c:catAx>
        <c:axId val="78680936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0552096"/>
        <c:crosses val="autoZero"/>
        <c:auto val="1"/>
        <c:lblAlgn val="ctr"/>
        <c:lblOffset val="100"/>
        <c:noMultiLvlLbl val="0"/>
      </c:catAx>
      <c:valAx>
        <c:axId val="7505520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68093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15875" cap="flat" cmpd="sng" algn="ctr">
      <a:solidFill>
        <a:schemeClr val="bg1">
          <a:lumMod val="6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247653</xdr:colOff>
      <xdr:row>2</xdr:row>
      <xdr:rowOff>133350</xdr:rowOff>
    </xdr:from>
    <xdr:to>
      <xdr:col>8</xdr:col>
      <xdr:colOff>895350</xdr:colOff>
      <xdr:row>18</xdr:row>
      <xdr:rowOff>180975</xdr:rowOff>
    </xdr:to>
    <xdr:graphicFrame macro="">
      <xdr:nvGraphicFramePr>
        <xdr:cNvPr id="3" name="Chart 2">
          <a:extLst>
            <a:ext uri="{FF2B5EF4-FFF2-40B4-BE49-F238E27FC236}">
              <a16:creationId xmlns:a16="http://schemas.microsoft.com/office/drawing/2014/main" id="{68007E19-7D7F-4808-BABA-3F2E993EF2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61913</xdr:colOff>
      <xdr:row>21</xdr:row>
      <xdr:rowOff>28575</xdr:rowOff>
    </xdr:from>
    <xdr:to>
      <xdr:col>9</xdr:col>
      <xdr:colOff>590551</xdr:colOff>
      <xdr:row>37</xdr:row>
      <xdr:rowOff>66675</xdr:rowOff>
    </xdr:to>
    <xdr:graphicFrame macro="">
      <xdr:nvGraphicFramePr>
        <xdr:cNvPr id="6" name="Chart 5">
          <a:extLst>
            <a:ext uri="{FF2B5EF4-FFF2-40B4-BE49-F238E27FC236}">
              <a16:creationId xmlns:a16="http://schemas.microsoft.com/office/drawing/2014/main" id="{2A8D3C91-25B7-48BF-9F2B-0A60D3A18D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252411</xdr:colOff>
      <xdr:row>40</xdr:row>
      <xdr:rowOff>0</xdr:rowOff>
    </xdr:from>
    <xdr:to>
      <xdr:col>8</xdr:col>
      <xdr:colOff>981075</xdr:colOff>
      <xdr:row>56</xdr:row>
      <xdr:rowOff>9525</xdr:rowOff>
    </xdr:to>
    <xdr:graphicFrame macro="">
      <xdr:nvGraphicFramePr>
        <xdr:cNvPr id="8" name="Chart 7">
          <a:extLst>
            <a:ext uri="{FF2B5EF4-FFF2-40B4-BE49-F238E27FC236}">
              <a16:creationId xmlns:a16="http://schemas.microsoft.com/office/drawing/2014/main" id="{9E703BF5-5076-43E8-9B11-4B81BDA9B5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242887</xdr:colOff>
      <xdr:row>58</xdr:row>
      <xdr:rowOff>166686</xdr:rowOff>
    </xdr:from>
    <xdr:to>
      <xdr:col>8</xdr:col>
      <xdr:colOff>1143000</xdr:colOff>
      <xdr:row>74</xdr:row>
      <xdr:rowOff>95249</xdr:rowOff>
    </xdr:to>
    <xdr:graphicFrame macro="">
      <xdr:nvGraphicFramePr>
        <xdr:cNvPr id="9" name="Chart 8">
          <a:extLst>
            <a:ext uri="{FF2B5EF4-FFF2-40B4-BE49-F238E27FC236}">
              <a16:creationId xmlns:a16="http://schemas.microsoft.com/office/drawing/2014/main" id="{9580E575-86BB-4F41-95F4-6E88C0B276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447675</xdr:colOff>
      <xdr:row>6</xdr:row>
      <xdr:rowOff>95251</xdr:rowOff>
    </xdr:from>
    <xdr:to>
      <xdr:col>10</xdr:col>
      <xdr:colOff>419100</xdr:colOff>
      <xdr:row>21</xdr:row>
      <xdr:rowOff>114301</xdr:rowOff>
    </xdr:to>
    <xdr:graphicFrame macro="">
      <xdr:nvGraphicFramePr>
        <xdr:cNvPr id="33" name="Chart 32">
          <a:extLst>
            <a:ext uri="{FF2B5EF4-FFF2-40B4-BE49-F238E27FC236}">
              <a16:creationId xmlns:a16="http://schemas.microsoft.com/office/drawing/2014/main" id="{230BFF45-BCE0-4BA5-BC4F-EBD549895C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514350</xdr:colOff>
      <xdr:row>6</xdr:row>
      <xdr:rowOff>95251</xdr:rowOff>
    </xdr:from>
    <xdr:to>
      <xdr:col>19</xdr:col>
      <xdr:colOff>9525</xdr:colOff>
      <xdr:row>21</xdr:row>
      <xdr:rowOff>133351</xdr:rowOff>
    </xdr:to>
    <xdr:graphicFrame macro="">
      <xdr:nvGraphicFramePr>
        <xdr:cNvPr id="35" name="Chart 34">
          <a:extLst>
            <a:ext uri="{FF2B5EF4-FFF2-40B4-BE49-F238E27FC236}">
              <a16:creationId xmlns:a16="http://schemas.microsoft.com/office/drawing/2014/main" id="{53CB4DBD-FB16-4A28-9155-E7BC68F1F6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428624</xdr:colOff>
      <xdr:row>22</xdr:row>
      <xdr:rowOff>38101</xdr:rowOff>
    </xdr:from>
    <xdr:to>
      <xdr:col>10</xdr:col>
      <xdr:colOff>428625</xdr:colOff>
      <xdr:row>36</xdr:row>
      <xdr:rowOff>152401</xdr:rowOff>
    </xdr:to>
    <xdr:graphicFrame macro="">
      <xdr:nvGraphicFramePr>
        <xdr:cNvPr id="37" name="Chart 36">
          <a:extLst>
            <a:ext uri="{FF2B5EF4-FFF2-40B4-BE49-F238E27FC236}">
              <a16:creationId xmlns:a16="http://schemas.microsoft.com/office/drawing/2014/main" id="{1A26C645-2976-4675-BF6A-917959D3EB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514350</xdr:colOff>
      <xdr:row>22</xdr:row>
      <xdr:rowOff>38101</xdr:rowOff>
    </xdr:from>
    <xdr:to>
      <xdr:col>19</xdr:col>
      <xdr:colOff>9525</xdr:colOff>
      <xdr:row>36</xdr:row>
      <xdr:rowOff>133351</xdr:rowOff>
    </xdr:to>
    <xdr:graphicFrame macro="">
      <xdr:nvGraphicFramePr>
        <xdr:cNvPr id="39" name="Chart 38">
          <a:extLst>
            <a:ext uri="{FF2B5EF4-FFF2-40B4-BE49-F238E27FC236}">
              <a16:creationId xmlns:a16="http://schemas.microsoft.com/office/drawing/2014/main" id="{942F5996-C1ED-485A-9A0E-9E06B7C4C7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6</xdr:row>
      <xdr:rowOff>85725</xdr:rowOff>
    </xdr:from>
    <xdr:to>
      <xdr:col>2</xdr:col>
      <xdr:colOff>400050</xdr:colOff>
      <xdr:row>13</xdr:row>
      <xdr:rowOff>180975</xdr:rowOff>
    </xdr:to>
    <mc:AlternateContent xmlns:mc="http://schemas.openxmlformats.org/markup-compatibility/2006" xmlns:a14="http://schemas.microsoft.com/office/drawing/2010/main">
      <mc:Choice Requires="a14">
        <xdr:graphicFrame macro="">
          <xdr:nvGraphicFramePr>
            <xdr:cNvPr id="40" name="education">
              <a:extLst>
                <a:ext uri="{FF2B5EF4-FFF2-40B4-BE49-F238E27FC236}">
                  <a16:creationId xmlns:a16="http://schemas.microsoft.com/office/drawing/2014/main" id="{790DFC21-5ED2-4559-BB69-2FD95E7B5B31}"/>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0" y="1228725"/>
              <a:ext cx="1619250" cy="14287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9525</xdr:colOff>
      <xdr:row>14</xdr:row>
      <xdr:rowOff>142876</xdr:rowOff>
    </xdr:from>
    <xdr:to>
      <xdr:col>2</xdr:col>
      <xdr:colOff>409575</xdr:colOff>
      <xdr:row>20</xdr:row>
      <xdr:rowOff>161926</xdr:rowOff>
    </xdr:to>
    <mc:AlternateContent xmlns:mc="http://schemas.openxmlformats.org/markup-compatibility/2006" xmlns:a14="http://schemas.microsoft.com/office/drawing/2010/main">
      <mc:Choice Requires="a14">
        <xdr:graphicFrame macro="">
          <xdr:nvGraphicFramePr>
            <xdr:cNvPr id="41" name="loan_status">
              <a:extLst>
                <a:ext uri="{FF2B5EF4-FFF2-40B4-BE49-F238E27FC236}">
                  <a16:creationId xmlns:a16="http://schemas.microsoft.com/office/drawing/2014/main" id="{AFF054CF-437D-40E4-A6F3-28A8F0EDEA43}"/>
                </a:ext>
              </a:extLst>
            </xdr:cNvPr>
            <xdr:cNvGraphicFramePr/>
          </xdr:nvGraphicFramePr>
          <xdr:xfrm>
            <a:off x="0" y="0"/>
            <a:ext cx="0" cy="0"/>
          </xdr:xfrm>
          <a:graphic>
            <a:graphicData uri="http://schemas.microsoft.com/office/drawing/2010/slicer">
              <sle:slicer xmlns:sle="http://schemas.microsoft.com/office/drawing/2010/slicer" name="loan_status"/>
            </a:graphicData>
          </a:graphic>
        </xdr:graphicFrame>
      </mc:Choice>
      <mc:Fallback xmlns="">
        <xdr:sp macro="" textlink="">
          <xdr:nvSpPr>
            <xdr:cNvPr id="0" name=""/>
            <xdr:cNvSpPr>
              <a:spLocks noTextEdit="1"/>
            </xdr:cNvSpPr>
          </xdr:nvSpPr>
          <xdr:spPr>
            <a:xfrm>
              <a:off x="9525" y="2809876"/>
              <a:ext cx="1619250" cy="11620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28574</xdr:colOff>
      <xdr:row>21</xdr:row>
      <xdr:rowOff>142875</xdr:rowOff>
    </xdr:from>
    <xdr:to>
      <xdr:col>2</xdr:col>
      <xdr:colOff>380999</xdr:colOff>
      <xdr:row>29</xdr:row>
      <xdr:rowOff>142874</xdr:rowOff>
    </xdr:to>
    <mc:AlternateContent xmlns:mc="http://schemas.openxmlformats.org/markup-compatibility/2006" xmlns:a14="http://schemas.microsoft.com/office/drawing/2010/main">
      <mc:Choice Requires="a14">
        <xdr:graphicFrame macro="">
          <xdr:nvGraphicFramePr>
            <xdr:cNvPr id="43" name="age_grouped">
              <a:extLst>
                <a:ext uri="{FF2B5EF4-FFF2-40B4-BE49-F238E27FC236}">
                  <a16:creationId xmlns:a16="http://schemas.microsoft.com/office/drawing/2014/main" id="{11CAEB2D-97AA-4712-A9E6-5B9063536C92}"/>
                </a:ext>
              </a:extLst>
            </xdr:cNvPr>
            <xdr:cNvGraphicFramePr/>
          </xdr:nvGraphicFramePr>
          <xdr:xfrm>
            <a:off x="0" y="0"/>
            <a:ext cx="0" cy="0"/>
          </xdr:xfrm>
          <a:graphic>
            <a:graphicData uri="http://schemas.microsoft.com/office/drawing/2010/slicer">
              <sle:slicer xmlns:sle="http://schemas.microsoft.com/office/drawing/2010/slicer" name="age_grouped"/>
            </a:graphicData>
          </a:graphic>
        </xdr:graphicFrame>
      </mc:Choice>
      <mc:Fallback xmlns="">
        <xdr:sp macro="" textlink="">
          <xdr:nvSpPr>
            <xdr:cNvPr id="0" name=""/>
            <xdr:cNvSpPr>
              <a:spLocks noTextEdit="1"/>
            </xdr:cNvSpPr>
          </xdr:nvSpPr>
          <xdr:spPr>
            <a:xfrm>
              <a:off x="28574" y="4143375"/>
              <a:ext cx="1571625" cy="15239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30</xdr:row>
      <xdr:rowOff>123825</xdr:rowOff>
    </xdr:from>
    <xdr:to>
      <xdr:col>2</xdr:col>
      <xdr:colOff>371474</xdr:colOff>
      <xdr:row>36</xdr:row>
      <xdr:rowOff>57150</xdr:rowOff>
    </xdr:to>
    <mc:AlternateContent xmlns:mc="http://schemas.openxmlformats.org/markup-compatibility/2006" xmlns:a14="http://schemas.microsoft.com/office/drawing/2010/main">
      <mc:Choice Requires="a14">
        <xdr:graphicFrame macro="">
          <xdr:nvGraphicFramePr>
            <xdr:cNvPr id="44" name="gender">
              <a:extLst>
                <a:ext uri="{FF2B5EF4-FFF2-40B4-BE49-F238E27FC236}">
                  <a16:creationId xmlns:a16="http://schemas.microsoft.com/office/drawing/2014/main" id="{E08166D6-D30B-487E-8330-189E13F96CE1}"/>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0" y="5838825"/>
              <a:ext cx="1590674" cy="10763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72.081713541666" createdVersion="6" refreshedVersion="6" minRefreshableVersion="3" recordCount="500" xr:uid="{F5B221EF-B33D-4680-A8C6-F0B7E4C622C7}">
  <cacheSource type="worksheet">
    <worksheetSource ref="A1:Q501" sheet="Loan Payment Data"/>
  </cacheSource>
  <cacheFields count="17">
    <cacheField name="Loan_ID" numFmtId="0">
      <sharedItems count="500">
        <s v="xqd20166231"/>
        <s v="xqd20168902"/>
        <s v="xqd20160003"/>
        <s v="xqd20160004"/>
        <s v="xqd20160005"/>
        <s v="xqd20160706"/>
        <s v="xqd20160007"/>
        <s v="xqd20160008"/>
        <s v="xqd20160909"/>
        <s v="xqd20160010"/>
        <s v="xqd20160011"/>
        <s v="xqd20160012"/>
        <s v="xqd20160013"/>
        <s v="xqd20160014"/>
        <s v="xqd20160015"/>
        <s v="xqd20160016"/>
        <s v="xqd20160017"/>
        <s v="xqd20160018"/>
        <s v="xqd20160019"/>
        <s v="xqd20160020"/>
        <s v="xqd20160021"/>
        <s v="xqd20160022"/>
        <s v="xqd20160023"/>
        <s v="xqd20160024"/>
        <s v="xqd20160025"/>
        <s v="xqd20160026"/>
        <s v="xqd20160027"/>
        <s v="xqd20170088"/>
        <s v="xqd20160029"/>
        <s v="xqd20160030"/>
        <s v="xqd88160031"/>
        <s v="xqd20160032"/>
        <s v="xqd20160033"/>
        <s v="xqd22169034"/>
        <s v="xqd20160035"/>
        <s v="xqd20160036"/>
        <s v="xqd20160037"/>
        <s v="xqd20160038"/>
        <s v="xqd20160039"/>
        <s v="xqd20160040"/>
        <s v="xqd20160041"/>
        <s v="xqd20160042"/>
        <s v="xqd20160043"/>
        <s v="xqd20160044"/>
        <s v="xqd20160045"/>
        <s v="xqd20160046"/>
        <s v="xqd20160047"/>
        <s v="xqd20160048"/>
        <s v="xqd20160049"/>
        <s v="xqd20160050"/>
        <s v="xqd20160051"/>
        <s v="xqd20160052"/>
        <s v="xqd20160053"/>
        <s v="xqd20160054"/>
        <s v="xqd20160055"/>
        <s v="xqd20160056"/>
        <s v="xqd20160057"/>
        <s v="xqd20160058"/>
        <s v="xqd20160059"/>
        <s v="xqd20160060"/>
        <s v="xqd20160061"/>
        <s v="xqd20160062"/>
        <s v="xqd20160063"/>
        <s v="xqd20160064"/>
        <s v="xqd20160065"/>
        <s v="xqd20160066"/>
        <s v="xqd20160067"/>
        <s v="xqd20160068"/>
        <s v="xqd20160069"/>
        <s v="xqd20160070"/>
        <s v="xqd20160071"/>
        <s v="xqd20160072"/>
        <s v="xqd20160073"/>
        <s v="xqd20160074"/>
        <s v="xqd20160075"/>
        <s v="xqd20160076"/>
        <s v="xqd20160077"/>
        <s v="xqd20160078"/>
        <s v="xqd20160079"/>
        <s v="xqd20160080"/>
        <s v="xqd20160081"/>
        <s v="xqd20160082"/>
        <s v="xqd20160083"/>
        <s v="xqd20160084"/>
        <s v="xqd20160085"/>
        <s v="xqd20160086"/>
        <s v="xqd20160087"/>
        <s v="xqd20160088"/>
        <s v="xqd20160089"/>
        <s v="xqd90160090"/>
        <s v="xqd91160291"/>
        <s v="xqd90160092"/>
        <s v="xqd90163093"/>
        <s v="xqd20160094"/>
        <s v="xqd20167095"/>
        <s v="xqd20160096"/>
        <s v="xqd20160097"/>
        <s v="xqd20160098"/>
        <s v="xqd20160099"/>
        <s v="xqd20160100"/>
        <s v="xqd20160101"/>
        <s v="xqd20160102"/>
        <s v="xqd20160103"/>
        <s v="xqd20160104"/>
        <s v="xqd20160105"/>
        <s v="xqd20160106"/>
        <s v="xqd20160107"/>
        <s v="xqd20160108"/>
        <s v="xqd20160109"/>
        <s v="xqd20160110"/>
        <s v="xqd20160111"/>
        <s v="xqd20160112"/>
        <s v="xqd20160113"/>
        <s v="xqd20160114"/>
        <s v="xqd20160115"/>
        <s v="xqd20160116"/>
        <s v="xqd20160117"/>
        <s v="xqd20160118"/>
        <s v="xqd20160119"/>
        <s v="xqd20160120"/>
        <s v="xqd20160121"/>
        <s v="xqd20160122"/>
        <s v="xqd20160123"/>
        <s v="xqd20160124"/>
        <s v="xqd20160125"/>
        <s v="xqd20160126"/>
        <s v="xqd20160127"/>
        <s v="xqd20160128"/>
        <s v="xqd78160129"/>
        <s v="xqd20160130"/>
        <s v="xqd20160131"/>
        <s v="xqd20160132"/>
        <s v="xqd20160133"/>
        <s v="xqd20160134"/>
        <s v="xqd20160135"/>
        <s v="xqd20160136"/>
        <s v="xqd20160137"/>
        <s v="xqd20160138"/>
        <s v="xqd20160139"/>
        <s v="xqd56160140"/>
        <s v="xqd20160141"/>
        <s v="xqd20160142"/>
        <s v="xqd20160143"/>
        <s v="xqd20160144"/>
        <s v="xqd20160145"/>
        <s v="xqd20160146"/>
        <s v="xqd20160147"/>
        <s v="xqd20160148"/>
        <s v="xqd20160149"/>
        <s v="xqd20160150"/>
        <s v="xqd20160151"/>
        <s v="xqd34160152"/>
        <s v="xqd20160153"/>
        <s v="xqd20160154"/>
        <s v="xqd20160155"/>
        <s v="xqd20160156"/>
        <s v="xqd20160157"/>
        <s v="xqd20160158"/>
        <s v="xqd12160159"/>
        <s v="xqd20160160"/>
        <s v="xqd20160161"/>
        <s v="xqd20160162"/>
        <s v="xqd20160163"/>
        <s v="xqd28160164"/>
        <s v="xqd20160165"/>
        <s v="xqd20160166"/>
        <s v="xqd20160167"/>
        <s v="xqd20160168"/>
        <s v="xqd20160169"/>
        <s v="xqd27160170"/>
        <s v="xqd20160171"/>
        <s v="xqd20160172"/>
        <s v="xqd20160173"/>
        <s v="xqd20160174"/>
        <s v="xqd20160175"/>
        <s v="xqd20160176"/>
        <s v="xqd20160177"/>
        <s v="xqd20160178"/>
        <s v="xqd20160179"/>
        <s v="xqd20160180"/>
        <s v="xqd20160181"/>
        <s v="xqd20160182"/>
        <s v="xqd20160183"/>
        <s v="xqd20160184"/>
        <s v="xqd20160185"/>
        <s v="xqd20160186"/>
        <s v="xqd20160187"/>
        <s v="xqd20160188"/>
        <s v="xqd20160189"/>
        <s v="xqd20160190"/>
        <s v="xqd20160191"/>
        <s v="xqd20160192"/>
        <s v="xqd20160193"/>
        <s v="xqd20160194"/>
        <s v="xqd20160195"/>
        <s v="xqd20160196"/>
        <s v="xqd20160197"/>
        <s v="xqd20160198"/>
        <s v="xqd20160199"/>
        <s v="xqd20160200"/>
        <s v="xqd20160201"/>
        <s v="xqd20160202"/>
        <s v="xqd20160203"/>
        <s v="xqd20160204"/>
        <s v="xqd20160205"/>
        <s v="xqd20160206"/>
        <s v="xqd20160207"/>
        <s v="xqd20160208"/>
        <s v="xqd20160209"/>
        <s v="xqd20160210"/>
        <s v="xqd20160211"/>
        <s v="xqd20160212"/>
        <s v="xqd20160213"/>
        <s v="xqd20160214"/>
        <s v="xqd20160215"/>
        <s v="xqd20160216"/>
        <s v="xqd20160217"/>
        <s v="xqd20160218"/>
        <s v="xqd20160219"/>
        <s v="xqd20160220"/>
        <s v="xqd20160221"/>
        <s v="xqd20160222"/>
        <s v="xqd20160223"/>
        <s v="xqd20160224"/>
        <s v="xqd20160225"/>
        <s v="xqd20160226"/>
        <s v="xqd20160227"/>
        <s v="xqd20160228"/>
        <s v="xqd20160229"/>
        <s v="xqd20160230"/>
        <s v="xqd20160231"/>
        <s v="xqd20160232"/>
        <s v="xqd20160233"/>
        <s v="xqd20160234"/>
        <s v="xqd20160235"/>
        <s v="xqd20160236"/>
        <s v="xqd20160237"/>
        <s v="xqd20160238"/>
        <s v="xqd20160239"/>
        <s v="xqd20160240"/>
        <s v="xqd20160241"/>
        <s v="xqd20160242"/>
        <s v="xqd20160243"/>
        <s v="xqd20160244"/>
        <s v="xqd20160245"/>
        <s v="xqd20160246"/>
        <s v="xqd20160247"/>
        <s v="xqd20160248"/>
        <s v="xqd20160249"/>
        <s v="xqd20160250"/>
        <s v="xqd20160251"/>
        <s v="xqd20160252"/>
        <s v="xqd20160253"/>
        <s v="xqd20160254"/>
        <s v="xqd20160255"/>
        <s v="xqd20160256"/>
        <s v="xqd20160257"/>
        <s v="xqd20160258"/>
        <s v="xqd20160259"/>
        <s v="xqd20160260"/>
        <s v="xqd20160261"/>
        <s v="xqd20160262"/>
        <s v="xqd20160263"/>
        <s v="xqd20160264"/>
        <s v="xqd20160265"/>
        <s v="xqd20160266"/>
        <s v="xqd20160267"/>
        <s v="xqd20160268"/>
        <s v="xqd20160269"/>
        <s v="xqd20160270"/>
        <s v="xqd20160271"/>
        <s v="xqd20160272"/>
        <s v="xqd20160273"/>
        <s v="xqd20160274"/>
        <s v="xqd20160275"/>
        <s v="xqd20160276"/>
        <s v="xqd20160277"/>
        <s v="xqd20160278"/>
        <s v="xqd20160279"/>
        <s v="xqd20160280"/>
        <s v="xqd20160281"/>
        <s v="xqd20160282"/>
        <s v="xqd20160283"/>
        <s v="xqd20160284"/>
        <s v="xqd20160285"/>
        <s v="xqd20160286"/>
        <s v="xqd20160287"/>
        <s v="xqd20160288"/>
        <s v="xqd20160289"/>
        <s v="xqd20160290"/>
        <s v="xqd20160291"/>
        <s v="xqd20160292"/>
        <s v="xqd20160293"/>
        <s v="xqd20160294"/>
        <s v="xqd20160295"/>
        <s v="xqd20160296"/>
        <s v="xqd20160297"/>
        <s v="xqd20160298"/>
        <s v="xqd20160299"/>
        <s v="xqd20160300"/>
        <s v="xqd20160301"/>
        <s v="xqd20160302"/>
        <s v="xqd20160303"/>
        <s v="xqd20160304"/>
        <s v="xqd20160305"/>
        <s v="xqd20160306"/>
        <s v="xqd20160307"/>
        <s v="xqd20160308"/>
        <s v="xqd20160309"/>
        <s v="xqd20160310"/>
        <s v="xqd20160311"/>
        <s v="xqd20160312"/>
        <s v="xqd20160313"/>
        <s v="xqd20160314"/>
        <s v="xqd20160315"/>
        <s v="xqd20160316"/>
        <s v="xqd20160317"/>
        <s v="xqd20160318"/>
        <s v="xqd20160319"/>
        <s v="xqd20160320"/>
        <s v="xqd20160321"/>
        <s v="xqd20160322"/>
        <s v="xqd20160323"/>
        <s v="xqd20160324"/>
        <s v="xqd20160325"/>
        <s v="xqd20160326"/>
        <s v="xqd20160327"/>
        <s v="xqd20160328"/>
        <s v="xqd20160329"/>
        <s v="xqd20160330"/>
        <s v="xqd20160331"/>
        <s v="xqd20160332"/>
        <s v="xqd20160333"/>
        <s v="xqd20160334"/>
        <s v="xqd20160335"/>
        <s v="xqd20160336"/>
        <s v="xqd20160337"/>
        <s v="xqd20160338"/>
        <s v="xqd20160339"/>
        <s v="xqd20160340"/>
        <s v="xqd20160341"/>
        <s v="xqd20160342"/>
        <s v="xqd20160343"/>
        <s v="xqd20160344"/>
        <s v="xqd20160345"/>
        <s v="xqd20160346"/>
        <s v="xqd20160347"/>
        <s v="xqd20160348"/>
        <s v="xqd20160349"/>
        <s v="xqd20160350"/>
        <s v="xqd20160351"/>
        <s v="xqd20160352"/>
        <s v="xqd20160353"/>
        <s v="xqd20160354"/>
        <s v="xqd20160355"/>
        <s v="xqd20160356"/>
        <s v="xqd20160357"/>
        <s v="xqd20160358"/>
        <s v="xqd20160359"/>
        <s v="xqd20160360"/>
        <s v="xqd20160361"/>
        <s v="xqd20160362"/>
        <s v="xqd20160363"/>
        <s v="xqd20160364"/>
        <s v="xqd20160365"/>
        <s v="xqd20160366"/>
        <s v="xqd20160367"/>
        <s v="xqd20160368"/>
        <s v="xqd20160369"/>
        <s v="xqd20160370"/>
        <s v="xqd20160371"/>
        <s v="xqd20160372"/>
        <s v="xqd20160373"/>
        <s v="xqd20160374"/>
        <s v="xqd20182575"/>
        <s v="xqd20160376"/>
        <s v="xqd20151038"/>
        <s v="xqd20160378"/>
        <s v="xqd20197340"/>
        <s v="xqd20160380"/>
        <s v="xqd20160381"/>
        <s v="xqd20160382"/>
        <s v="xqd20175721"/>
        <s v="xqd20160384"/>
        <s v="xqd20160385"/>
        <s v="xqd20160386"/>
        <s v="xqd20160387"/>
        <s v="xqd20160388"/>
        <s v="xqd20160389"/>
        <s v="xqd20160390"/>
        <s v="xqd20160391"/>
        <s v="xqd20125284"/>
        <s v="xqd20160393"/>
        <s v="xqd20160394"/>
        <s v="xqd20160395"/>
        <s v="xqd20160396"/>
        <s v="xqd20160397"/>
        <s v="xqd20160398"/>
        <s v="xqd20160399"/>
        <s v="xqd20160400"/>
        <s v="xqd20160401"/>
        <s v="xqd20160402"/>
        <s v="xqd20320403"/>
        <s v="xqd20160404"/>
        <s v="xqd20190405"/>
        <s v="xqd20160406"/>
        <s v="xqd20160407"/>
        <s v="xqd20160408"/>
        <s v="xqd20110409"/>
        <s v="xqd20160410"/>
        <s v="xqd20160411"/>
        <s v="xqd20160412"/>
        <s v="xqd20160413"/>
        <s v="xqd20169083"/>
        <s v="xqd20160415"/>
        <s v="xqd20160416"/>
        <s v="xqd20160417"/>
        <s v="xqd20160418"/>
        <s v="xqd20160419"/>
        <s v="xqd20160420"/>
        <s v="xqd20160421"/>
        <s v="xqd20160422"/>
        <s v="xqd20160423"/>
        <s v="xqd20160424"/>
        <s v="xqd20880425"/>
        <s v="xqd20160426"/>
        <s v="xqd20160427"/>
        <s v="xqd20160428"/>
        <s v="xqd20160429"/>
        <s v="xqd20160430"/>
        <s v="xqd20160431"/>
        <s v="xqd20160432"/>
        <s v="xqd20160433"/>
        <s v="xqd20160434"/>
        <s v="xqd20160435"/>
        <s v="xqd20160436"/>
        <s v="xqd20790437"/>
        <s v="xqd20160438"/>
        <s v="xqd20160439"/>
        <s v="xqd20160440"/>
        <s v="xqd20160441"/>
        <s v="xqd20160442"/>
        <s v="xqd20160443"/>
        <s v="xqd20160444"/>
        <s v="xqd20160445"/>
        <s v="xqd20160446"/>
        <s v="xqd20420447"/>
        <s v="xqd20160448"/>
        <s v="xqd20160449"/>
        <s v="xqd20160450"/>
        <s v="xqd20160451"/>
        <s v="xqd20160452"/>
        <s v="xqd20390453"/>
        <s v="xqd20160454"/>
        <s v="xqd20160455"/>
        <s v="xqd20160456"/>
        <s v="xqd20160457"/>
        <s v="xqd20160458"/>
        <s v="xqd20160459"/>
        <s v="xqd20160460"/>
        <s v="xqd20490461"/>
        <s v="xqd20160462"/>
        <s v="xqd20160463"/>
        <s v="xqd20870464"/>
        <s v="xqd20160465"/>
        <s v="xqd20169466"/>
        <s v="xqd20160467"/>
        <s v="xqd20160468"/>
        <s v="xqd20160469"/>
        <s v="xqd25660470"/>
        <s v="xqd20160471"/>
        <s v="xqd20160472"/>
        <s v="xqd20160473"/>
        <s v="xqd20160474"/>
        <s v="xqd20160475"/>
        <s v="xqd20160476"/>
        <s v="xqd20160477"/>
        <s v="xqd20160478"/>
        <s v="xqd20160479"/>
        <s v="xqd20160480"/>
        <s v="xqd20160481"/>
        <s v="xqd20160482"/>
        <s v="xqd20160483"/>
        <s v="xqd20160484"/>
        <s v="xqd20160485"/>
        <s v="xqd20160486"/>
        <s v="xqd20160487"/>
        <s v="xqd20160488"/>
        <s v="xqd20160489"/>
        <s v="xqd20160490"/>
        <s v="xqd20160491"/>
        <s v="xqd20160492"/>
        <s v="xqd20160493"/>
        <s v="xqd20160494"/>
        <s v="xqd20160495"/>
        <s v="xqd20160496"/>
        <s v="xqd20160497"/>
        <s v="xqd20160498"/>
        <s v="xqd20160499"/>
        <s v="xqd20160500"/>
      </sharedItems>
    </cacheField>
    <cacheField name="loan_status" numFmtId="49">
      <sharedItems count="3">
        <s v="PAIDOFF"/>
        <s v="COLLECTION"/>
        <s v="COLLECTION_PAIDOFF"/>
      </sharedItems>
    </cacheField>
    <cacheField name="Principal" numFmtId="1">
      <sharedItems containsSemiMixedTypes="0" containsString="0" containsNumber="1" containsInteger="1" minValue="300" maxValue="1000"/>
    </cacheField>
    <cacheField name="terms" numFmtId="1">
      <sharedItems containsSemiMixedTypes="0" containsString="0" containsNumber="1" containsInteger="1" minValue="7" maxValue="30"/>
    </cacheField>
    <cacheField name="effective_date" numFmtId="14">
      <sharedItems containsDate="1" containsMixedTypes="1" minDate="2016-08-09T00:00:00" maxDate="2016-12-10T00:00:00" count="7">
        <d v="2016-08-09T00:00:00"/>
        <d v="2016-09-09T00:00:00"/>
        <d v="2016-10-09T00:00:00"/>
        <d v="2016-11-09T00:00:00"/>
        <d v="2016-12-09T00:00:00"/>
        <s v="9/13/2016"/>
        <s v="9/14/2016"/>
      </sharedItems>
    </cacheField>
    <cacheField name="due_date" numFmtId="14">
      <sharedItems containsDate="1" containsMixedTypes="1" minDate="2016-07-10T00:00:00" maxDate="2016-12-12T00:00:00"/>
    </cacheField>
    <cacheField name="paid_off_time" numFmtId="22">
      <sharedItems containsDate="1" containsBlank="1" containsMixedTypes="1" minDate="2016-01-10T10:18:00" maxDate="2016-12-11T09:00:00"/>
    </cacheField>
    <cacheField name="past_due_days" numFmtId="1">
      <sharedItems containsString="0" containsBlank="1" containsNumber="1" containsInteger="1" minValue="1" maxValue="76"/>
    </cacheField>
    <cacheField name="delinquency_category " numFmtId="49">
      <sharedItems/>
    </cacheField>
    <cacheField name="Delinquency_Category_Funct" numFmtId="0">
      <sharedItems/>
    </cacheField>
    <cacheField name="age" numFmtId="1">
      <sharedItems containsSemiMixedTypes="0" containsString="0" containsNumber="1" containsInteger="1" minValue="18" maxValue="51" count="33">
        <n v="45"/>
        <n v="50"/>
        <n v="33"/>
        <n v="27"/>
        <n v="28"/>
        <n v="35"/>
        <n v="29"/>
        <n v="36"/>
        <n v="26"/>
        <n v="39"/>
        <n v="40"/>
        <n v="32"/>
        <n v="43"/>
        <n v="25"/>
        <n v="34"/>
        <n v="31"/>
        <n v="37"/>
        <n v="24"/>
        <n v="21"/>
        <n v="30"/>
        <n v="22"/>
        <n v="44"/>
        <n v="46"/>
        <n v="38"/>
        <n v="23"/>
        <n v="20"/>
        <n v="47"/>
        <n v="42"/>
        <n v="19"/>
        <n v="51"/>
        <n v="41"/>
        <n v="18"/>
        <n v="49"/>
      </sharedItems>
    </cacheField>
    <cacheField name="age_grouped" numFmtId="49">
      <sharedItems count="4">
        <s v="Mature"/>
        <s v="Old"/>
        <s v="Middle Aged"/>
        <s v=" Young Adults"/>
      </sharedItems>
    </cacheField>
    <cacheField name="Age_Grouped_Funct" numFmtId="0">
      <sharedItems/>
    </cacheField>
    <cacheField name="education" numFmtId="49">
      <sharedItems count="4">
        <s v="high school or below"/>
        <s v="bachelor"/>
        <s v="college"/>
        <s v="master or above"/>
      </sharedItems>
    </cacheField>
    <cacheField name="Education_Funct" numFmtId="0">
      <sharedItems/>
    </cacheField>
    <cacheField name="gender" numFmtId="49">
      <sharedItems count="2">
        <s v="male"/>
        <s v="female"/>
      </sharedItems>
    </cacheField>
    <cacheField name="Gender_Funct" numFmtId="0">
      <sharedItems/>
    </cacheField>
  </cacheFields>
  <extLst>
    <ext xmlns:x14="http://schemas.microsoft.com/office/spreadsheetml/2009/9/main" uri="{725AE2AE-9491-48be-B2B4-4EB974FC3084}">
      <x14:pivotCacheDefinition pivotCacheId="43107911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x v="0"/>
    <x v="0"/>
    <n v="1000"/>
    <n v="30"/>
    <x v="0"/>
    <d v="2016-07-10T00:00:00"/>
    <s v="9/14/2016 19:31"/>
    <m/>
    <s v="Current"/>
    <s v="Current"/>
    <x v="0"/>
    <x v="0"/>
    <s v="Mature"/>
    <x v="0"/>
    <s v="High School Or Below"/>
    <x v="0"/>
    <s v="Male"/>
  </r>
  <r>
    <x v="1"/>
    <x v="0"/>
    <n v="1000"/>
    <n v="30"/>
    <x v="0"/>
    <d v="2016-07-10T00:00:00"/>
    <d v="2016-07-10T09:00:00"/>
    <m/>
    <s v="Current"/>
    <s v="Current"/>
    <x v="1"/>
    <x v="1"/>
    <s v="Old"/>
    <x v="1"/>
    <s v="Bachelor"/>
    <x v="1"/>
    <s v="Female"/>
  </r>
  <r>
    <x v="2"/>
    <x v="0"/>
    <n v="1000"/>
    <n v="30"/>
    <x v="0"/>
    <d v="2016-07-10T00:00:00"/>
    <s v="9/25/2016 16:58"/>
    <m/>
    <s v="Current"/>
    <s v="Current"/>
    <x v="2"/>
    <x v="2"/>
    <s v="Middle Aged"/>
    <x v="1"/>
    <s v="Bachelor"/>
    <x v="1"/>
    <s v="Female"/>
  </r>
  <r>
    <x v="3"/>
    <x v="0"/>
    <n v="1000"/>
    <n v="15"/>
    <x v="0"/>
    <s v="                                   9/22/2016"/>
    <s v="9/22/2016 20:00"/>
    <m/>
    <s v="Current"/>
    <s v="Current"/>
    <x v="3"/>
    <x v="2"/>
    <s v="Middle Aged"/>
    <x v="2"/>
    <s v="College"/>
    <x v="0"/>
    <s v="Male"/>
  </r>
  <r>
    <x v="4"/>
    <x v="0"/>
    <n v="1000"/>
    <n v="30"/>
    <x v="1"/>
    <d v="2016-08-10T00:00:00"/>
    <s v="9/23/2016 21:36"/>
    <m/>
    <s v="Current"/>
    <s v="Current"/>
    <x v="4"/>
    <x v="2"/>
    <s v="Middle Aged"/>
    <x v="2"/>
    <s v="College"/>
    <x v="1"/>
    <s v="Female"/>
  </r>
  <r>
    <x v="5"/>
    <x v="0"/>
    <n v="300"/>
    <n v="7"/>
    <x v="1"/>
    <s v="                                   9/15/2016"/>
    <d v="2016-09-09T13:45:00"/>
    <m/>
    <s v="Current"/>
    <s v="Current"/>
    <x v="5"/>
    <x v="0"/>
    <s v="Mature"/>
    <x v="3"/>
    <s v="Master Or Above"/>
    <x v="0"/>
    <s v="Male"/>
  </r>
  <r>
    <x v="6"/>
    <x v="0"/>
    <n v="1000"/>
    <n v="30"/>
    <x v="1"/>
    <d v="2016-08-10T00:00:00"/>
    <d v="2016-07-10T23:07:00"/>
    <m/>
    <s v="Current"/>
    <s v="Current"/>
    <x v="6"/>
    <x v="2"/>
    <s v="Middle Aged"/>
    <x v="2"/>
    <s v="College"/>
    <x v="0"/>
    <s v="Male"/>
  </r>
  <r>
    <x v="7"/>
    <x v="0"/>
    <n v="1000"/>
    <n v="30"/>
    <x v="1"/>
    <d v="2016-08-10T00:00:00"/>
    <d v="2016-05-10T20:33:00"/>
    <m/>
    <s v="Current"/>
    <s v="Current"/>
    <x v="7"/>
    <x v="0"/>
    <s v="Mature"/>
    <x v="2"/>
    <s v="College"/>
    <x v="0"/>
    <s v="Male"/>
  </r>
  <r>
    <x v="8"/>
    <x v="0"/>
    <n v="1000"/>
    <n v="30"/>
    <x v="1"/>
    <d v="2016-08-10T00:00:00"/>
    <d v="2016-08-10T16:00:00"/>
    <m/>
    <s v="Current"/>
    <s v="Current"/>
    <x v="4"/>
    <x v="2"/>
    <s v="Middle Aged"/>
    <x v="2"/>
    <s v="College"/>
    <x v="0"/>
    <s v="Male"/>
  </r>
  <r>
    <x v="9"/>
    <x v="0"/>
    <n v="800"/>
    <n v="15"/>
    <x v="2"/>
    <s v="                                    9/24/2016"/>
    <s v="9/24/2016 13:00"/>
    <m/>
    <s v="Current"/>
    <s v="Current"/>
    <x v="8"/>
    <x v="2"/>
    <s v="Middle Aged"/>
    <x v="2"/>
    <s v="College"/>
    <x v="0"/>
    <s v="Male"/>
  </r>
  <r>
    <x v="10"/>
    <x v="0"/>
    <n v="300"/>
    <n v="7"/>
    <x v="2"/>
    <s v="9/16/2016"/>
    <d v="2016-11-09T19:11:00"/>
    <m/>
    <s v="Current"/>
    <s v="Current"/>
    <x v="6"/>
    <x v="2"/>
    <s v="Middle Aged"/>
    <x v="2"/>
    <s v="College"/>
    <x v="0"/>
    <s v="Male"/>
  </r>
  <r>
    <x v="11"/>
    <x v="0"/>
    <n v="1000"/>
    <n v="15"/>
    <x v="2"/>
    <d v="2016-09-10T00:00:00"/>
    <d v="2016-09-10T16:00:00"/>
    <m/>
    <s v="Current"/>
    <s v="Current"/>
    <x v="9"/>
    <x v="0"/>
    <s v="Mature"/>
    <x v="0"/>
    <s v="High School Or Below"/>
    <x v="0"/>
    <s v="Male"/>
  </r>
  <r>
    <x v="12"/>
    <x v="0"/>
    <n v="1000"/>
    <n v="30"/>
    <x v="2"/>
    <d v="2016-09-10T00:00:00"/>
    <d v="2016-07-10T23:32:00"/>
    <m/>
    <s v="Current"/>
    <s v="Current"/>
    <x v="8"/>
    <x v="2"/>
    <s v="Middle Aged"/>
    <x v="2"/>
    <s v="College"/>
    <x v="0"/>
    <s v="Male"/>
  </r>
  <r>
    <x v="13"/>
    <x v="0"/>
    <n v="900"/>
    <n v="7"/>
    <x v="2"/>
    <s v="9/16/2016"/>
    <s v="9/13/2016 21:57"/>
    <m/>
    <s v="Current"/>
    <s v="Current"/>
    <x v="8"/>
    <x v="2"/>
    <s v="Middle Aged"/>
    <x v="2"/>
    <s v="College"/>
    <x v="1"/>
    <s v="Female"/>
  </r>
  <r>
    <x v="14"/>
    <x v="0"/>
    <n v="1000"/>
    <n v="7"/>
    <x v="2"/>
    <s v="9/16/2016"/>
    <s v="9/15/2016 14:27"/>
    <m/>
    <s v="Current"/>
    <s v="Current"/>
    <x v="3"/>
    <x v="2"/>
    <s v="Middle Aged"/>
    <x v="0"/>
    <s v="High School Or Below"/>
    <x v="0"/>
    <s v="Male"/>
  </r>
  <r>
    <x v="15"/>
    <x v="0"/>
    <n v="800"/>
    <n v="15"/>
    <x v="2"/>
    <s v="9/24/2016"/>
    <s v="9/24/2016 16:00"/>
    <m/>
    <s v="Current"/>
    <s v="Current"/>
    <x v="8"/>
    <x v="2"/>
    <s v="Middle Aged"/>
    <x v="2"/>
    <s v="College"/>
    <x v="0"/>
    <s v="Male"/>
  </r>
  <r>
    <x v="16"/>
    <x v="0"/>
    <n v="1000"/>
    <n v="30"/>
    <x v="2"/>
    <d v="2016-09-10T00:00:00"/>
    <s v="9/27/2016 14:21"/>
    <m/>
    <s v="Current"/>
    <s v="Current"/>
    <x v="10"/>
    <x v="0"/>
    <s v="Mature"/>
    <x v="0"/>
    <s v="High School Or Below"/>
    <x v="0"/>
    <s v="Male"/>
  </r>
  <r>
    <x v="17"/>
    <x v="0"/>
    <n v="1000"/>
    <n v="15"/>
    <x v="2"/>
    <s v="9/24/2016"/>
    <s v="9/23/2016 18:49"/>
    <m/>
    <s v="Current"/>
    <s v="Current"/>
    <x v="11"/>
    <x v="2"/>
    <s v="Middle Aged"/>
    <x v="0"/>
    <s v="High School Or Below"/>
    <x v="0"/>
    <s v="Male"/>
  </r>
  <r>
    <x v="18"/>
    <x v="0"/>
    <n v="1000"/>
    <n v="30"/>
    <x v="2"/>
    <d v="2016-09-10T00:00:00"/>
    <d v="2016-05-10T22:05:00"/>
    <m/>
    <s v="Current"/>
    <s v="Current"/>
    <x v="11"/>
    <x v="2"/>
    <s v="Middle Aged"/>
    <x v="0"/>
    <s v="High School Or Below"/>
    <x v="0"/>
    <s v="Male"/>
  </r>
  <r>
    <x v="19"/>
    <x v="0"/>
    <n v="800"/>
    <n v="30"/>
    <x v="2"/>
    <d v="2016-09-10T00:00:00"/>
    <s v="9/23/2016 7:42"/>
    <m/>
    <s v="Current"/>
    <s v="Current"/>
    <x v="8"/>
    <x v="2"/>
    <s v="Middle Aged"/>
    <x v="2"/>
    <s v="College"/>
    <x v="0"/>
    <s v="Male"/>
  </r>
  <r>
    <x v="20"/>
    <x v="0"/>
    <n v="1000"/>
    <n v="30"/>
    <x v="2"/>
    <d v="2016-09-10T00:00:00"/>
    <d v="2016-09-10T09:00:00"/>
    <m/>
    <s v="Current"/>
    <s v="Current"/>
    <x v="8"/>
    <x v="2"/>
    <s v="Middle Aged"/>
    <x v="2"/>
    <s v="College"/>
    <x v="0"/>
    <s v="Male"/>
  </r>
  <r>
    <x v="21"/>
    <x v="0"/>
    <n v="1000"/>
    <n v="30"/>
    <x v="2"/>
    <d v="2016-09-10T00:00:00"/>
    <d v="2016-08-10T17:09:00"/>
    <m/>
    <s v="Current"/>
    <s v="Current"/>
    <x v="12"/>
    <x v="0"/>
    <s v="Mature"/>
    <x v="0"/>
    <s v="High School Or Below"/>
    <x v="1"/>
    <s v="Female"/>
  </r>
  <r>
    <x v="22"/>
    <x v="0"/>
    <n v="1000"/>
    <n v="30"/>
    <x v="2"/>
    <d v="2016-09-10T00:00:00"/>
    <d v="2016-09-10T23:00:00"/>
    <m/>
    <s v="Current"/>
    <s v="Current"/>
    <x v="13"/>
    <x v="3"/>
    <s v=" Young Adults"/>
    <x v="0"/>
    <s v="High School Or Below"/>
    <x v="0"/>
    <s v="Male"/>
  </r>
  <r>
    <x v="23"/>
    <x v="0"/>
    <n v="1000"/>
    <n v="15"/>
    <x v="2"/>
    <s v="9/24/2016"/>
    <s v="9/24/2016 13:00"/>
    <m/>
    <s v="Current"/>
    <s v="Current"/>
    <x v="8"/>
    <x v="2"/>
    <s v="Middle Aged"/>
    <x v="2"/>
    <s v="College"/>
    <x v="0"/>
    <s v="Male"/>
  </r>
  <r>
    <x v="24"/>
    <x v="0"/>
    <n v="1000"/>
    <n v="30"/>
    <x v="2"/>
    <d v="2016-09-10T00:00:00"/>
    <d v="2016-03-10T12:50:00"/>
    <m/>
    <s v="Current"/>
    <s v="Current"/>
    <x v="8"/>
    <x v="2"/>
    <s v="Middle Aged"/>
    <x v="2"/>
    <s v="College"/>
    <x v="0"/>
    <s v="Male"/>
  </r>
  <r>
    <x v="25"/>
    <x v="0"/>
    <n v="1000"/>
    <n v="30"/>
    <x v="2"/>
    <d v="2016-09-10T00:00:00"/>
    <s v="9/29/2016 12:18"/>
    <m/>
    <s v="Current"/>
    <s v="Current"/>
    <x v="6"/>
    <x v="2"/>
    <s v="Middle Aged"/>
    <x v="0"/>
    <s v="High School Or Below"/>
    <x v="0"/>
    <s v="Male"/>
  </r>
  <r>
    <x v="26"/>
    <x v="0"/>
    <n v="800"/>
    <n v="15"/>
    <x v="2"/>
    <s v="9/24/2016"/>
    <s v="9/21/2016 20:16"/>
    <m/>
    <s v="Current"/>
    <s v="Current"/>
    <x v="9"/>
    <x v="0"/>
    <s v="Mature"/>
    <x v="1"/>
    <s v="Bachelor"/>
    <x v="0"/>
    <s v="Male"/>
  </r>
  <r>
    <x v="27"/>
    <x v="0"/>
    <n v="1000"/>
    <n v="15"/>
    <x v="2"/>
    <s v="9/24/2016"/>
    <s v="9/23/2016 8:21"/>
    <m/>
    <s v="Current"/>
    <s v="Current"/>
    <x v="14"/>
    <x v="0"/>
    <s v="Mature"/>
    <x v="1"/>
    <s v="Bachelor"/>
    <x v="0"/>
    <s v="Male"/>
  </r>
  <r>
    <x v="28"/>
    <x v="0"/>
    <n v="1000"/>
    <n v="30"/>
    <x v="3"/>
    <d v="2016-10-10T00:00:00"/>
    <s v="9/22/2016 19:17"/>
    <m/>
    <s v="Current"/>
    <s v="Current"/>
    <x v="15"/>
    <x v="2"/>
    <s v="Middle Aged"/>
    <x v="2"/>
    <s v="College"/>
    <x v="0"/>
    <s v="Male"/>
  </r>
  <r>
    <x v="29"/>
    <x v="0"/>
    <n v="1000"/>
    <n v="30"/>
    <x v="3"/>
    <d v="2016-10-10T00:00:00"/>
    <d v="2016-09-10T17:33:00"/>
    <m/>
    <s v="Current"/>
    <s v="Current"/>
    <x v="2"/>
    <x v="2"/>
    <s v="Middle Aged"/>
    <x v="2"/>
    <s v="College"/>
    <x v="0"/>
    <s v="Male"/>
  </r>
  <r>
    <x v="30"/>
    <x v="0"/>
    <n v="800"/>
    <n v="15"/>
    <x v="3"/>
    <s v="9/25/2016"/>
    <s v="9/24/2016 14:41"/>
    <m/>
    <s v="Current"/>
    <s v="Current"/>
    <x v="2"/>
    <x v="2"/>
    <s v="Middle Aged"/>
    <x v="0"/>
    <s v="High School Or Below"/>
    <x v="0"/>
    <s v="Male"/>
  </r>
  <r>
    <x v="31"/>
    <x v="0"/>
    <n v="1000"/>
    <n v="30"/>
    <x v="3"/>
    <d v="2016-10-10T00:00:00"/>
    <d v="2016-07-10T21:48:00"/>
    <m/>
    <s v="Current"/>
    <s v="Current"/>
    <x v="16"/>
    <x v="0"/>
    <s v="Mature"/>
    <x v="2"/>
    <s v="College"/>
    <x v="0"/>
    <s v="Male"/>
  </r>
  <r>
    <x v="32"/>
    <x v="0"/>
    <n v="1000"/>
    <n v="30"/>
    <x v="3"/>
    <d v="2016-10-10T00:00:00"/>
    <d v="2016-09-10T17:44:00"/>
    <m/>
    <s v="Current"/>
    <s v="Current"/>
    <x v="3"/>
    <x v="2"/>
    <s v="Middle Aged"/>
    <x v="2"/>
    <s v="College"/>
    <x v="0"/>
    <s v="Male"/>
  </r>
  <r>
    <x v="33"/>
    <x v="0"/>
    <n v="1000"/>
    <n v="30"/>
    <x v="3"/>
    <d v="2016-10-10T00:00:00"/>
    <d v="2016-09-10T07:24:00"/>
    <m/>
    <s v="Current"/>
    <s v="Current"/>
    <x v="16"/>
    <x v="0"/>
    <s v="Mature"/>
    <x v="2"/>
    <s v="College"/>
    <x v="0"/>
    <s v="Male"/>
  </r>
  <r>
    <x v="34"/>
    <x v="0"/>
    <n v="800"/>
    <n v="15"/>
    <x v="3"/>
    <s v="9/25/2016"/>
    <s v="9/25/2016 21:49"/>
    <m/>
    <s v="Current"/>
    <s v="Current"/>
    <x v="2"/>
    <x v="2"/>
    <s v="Middle Aged"/>
    <x v="2"/>
    <s v="College"/>
    <x v="0"/>
    <s v="Male"/>
  </r>
  <r>
    <x v="35"/>
    <x v="0"/>
    <n v="800"/>
    <n v="15"/>
    <x v="3"/>
    <s v="9/25/2016"/>
    <s v="9/25/2016 9:00"/>
    <m/>
    <s v="Current"/>
    <s v="Current"/>
    <x v="6"/>
    <x v="2"/>
    <s v="Middle Aged"/>
    <x v="1"/>
    <s v="Bachelor"/>
    <x v="0"/>
    <s v="Male"/>
  </r>
  <r>
    <x v="36"/>
    <x v="0"/>
    <n v="1000"/>
    <n v="30"/>
    <x v="3"/>
    <d v="2016-10-10T00:00:00"/>
    <d v="2016-10-10T16:00:00"/>
    <m/>
    <s v="Current"/>
    <s v="Current"/>
    <x v="3"/>
    <x v="2"/>
    <s v="Middle Aged"/>
    <x v="0"/>
    <s v="High School Or Below"/>
    <x v="0"/>
    <s v="Male"/>
  </r>
  <r>
    <x v="37"/>
    <x v="0"/>
    <n v="700"/>
    <n v="15"/>
    <x v="3"/>
    <s v="9/25/2016"/>
    <s v="9/25/2016 13:00"/>
    <m/>
    <s v="Current"/>
    <s v="Current"/>
    <x v="2"/>
    <x v="2"/>
    <s v="Middle Aged"/>
    <x v="0"/>
    <s v="High School Or Below"/>
    <x v="0"/>
    <s v="Male"/>
  </r>
  <r>
    <x v="38"/>
    <x v="0"/>
    <n v="1000"/>
    <n v="15"/>
    <x v="3"/>
    <s v="9/25/2016"/>
    <s v="9/25/2016 9:00"/>
    <m/>
    <s v="Current"/>
    <s v="Current"/>
    <x v="17"/>
    <x v="3"/>
    <s v=" Young Adults"/>
    <x v="2"/>
    <s v="College"/>
    <x v="0"/>
    <s v="Male"/>
  </r>
  <r>
    <x v="39"/>
    <x v="0"/>
    <n v="1000"/>
    <n v="30"/>
    <x v="3"/>
    <d v="2016-10-10T00:00:00"/>
    <d v="2016-10-10T11:33:00"/>
    <m/>
    <s v="Current"/>
    <s v="Current"/>
    <x v="18"/>
    <x v="3"/>
    <s v=" Young Adults"/>
    <x v="1"/>
    <s v="Bachelor"/>
    <x v="0"/>
    <s v="Male"/>
  </r>
  <r>
    <x v="40"/>
    <x v="0"/>
    <n v="1000"/>
    <n v="15"/>
    <x v="3"/>
    <s v="9/25/2016"/>
    <s v="9/25/2016 9:00"/>
    <m/>
    <s v="Current"/>
    <s v="Current"/>
    <x v="11"/>
    <x v="2"/>
    <s v="Middle Aged"/>
    <x v="2"/>
    <s v="College"/>
    <x v="1"/>
    <s v="Female"/>
  </r>
  <r>
    <x v="41"/>
    <x v="0"/>
    <n v="800"/>
    <n v="15"/>
    <x v="3"/>
    <s v="9/25/2016"/>
    <s v="9/25/2016 14:36"/>
    <m/>
    <s v="Current"/>
    <s v="Current"/>
    <x v="19"/>
    <x v="2"/>
    <s v="Middle Aged"/>
    <x v="2"/>
    <s v="College"/>
    <x v="0"/>
    <s v="Male"/>
  </r>
  <r>
    <x v="42"/>
    <x v="0"/>
    <n v="1000"/>
    <n v="7"/>
    <x v="3"/>
    <s v="9/24/2016"/>
    <s v="9/24/2016 9:00"/>
    <m/>
    <s v="Current"/>
    <s v="Current"/>
    <x v="15"/>
    <x v="2"/>
    <s v="Middle Aged"/>
    <x v="1"/>
    <s v="Bachelor"/>
    <x v="0"/>
    <s v="Male"/>
  </r>
  <r>
    <x v="43"/>
    <x v="0"/>
    <n v="1000"/>
    <n v="15"/>
    <x v="3"/>
    <s v="9/25/2016"/>
    <s v="9/20/2016 15:00"/>
    <m/>
    <s v="Current"/>
    <s v="Current"/>
    <x v="19"/>
    <x v="2"/>
    <s v="Middle Aged"/>
    <x v="2"/>
    <s v="College"/>
    <x v="0"/>
    <s v="Male"/>
  </r>
  <r>
    <x v="44"/>
    <x v="0"/>
    <n v="1000"/>
    <n v="15"/>
    <x v="3"/>
    <s v="9/25/2016"/>
    <s v="9/21/2016 22:29"/>
    <m/>
    <s v="Current"/>
    <s v="Current"/>
    <x v="17"/>
    <x v="3"/>
    <s v=" Young Adults"/>
    <x v="1"/>
    <s v="Bachelor"/>
    <x v="1"/>
    <s v="Female"/>
  </r>
  <r>
    <x v="45"/>
    <x v="0"/>
    <n v="800"/>
    <n v="7"/>
    <x v="3"/>
    <s v="9/17/2016"/>
    <d v="2016-12-09T22:17:00"/>
    <m/>
    <s v="Current"/>
    <s v="Current"/>
    <x v="5"/>
    <x v="0"/>
    <s v="Mature"/>
    <x v="0"/>
    <s v="High School Or Below"/>
    <x v="0"/>
    <s v="Male"/>
  </r>
  <r>
    <x v="46"/>
    <x v="0"/>
    <n v="1000"/>
    <n v="30"/>
    <x v="3"/>
    <d v="2016-10-10T00:00:00"/>
    <d v="2016-08-10T14:14:00"/>
    <m/>
    <s v="Current"/>
    <s v="Current"/>
    <x v="20"/>
    <x v="3"/>
    <s v=" Young Adults"/>
    <x v="0"/>
    <s v="High School Or Below"/>
    <x v="0"/>
    <s v="Male"/>
  </r>
  <r>
    <x v="47"/>
    <x v="0"/>
    <n v="1000"/>
    <n v="30"/>
    <x v="3"/>
    <d v="2016-10-10T00:00:00"/>
    <d v="2016-09-10T08:53:00"/>
    <m/>
    <s v="Current"/>
    <s v="Current"/>
    <x v="11"/>
    <x v="2"/>
    <s v="Middle Aged"/>
    <x v="2"/>
    <s v="College"/>
    <x v="0"/>
    <s v="Male"/>
  </r>
  <r>
    <x v="48"/>
    <x v="0"/>
    <n v="1000"/>
    <n v="30"/>
    <x v="3"/>
    <d v="2016-10-10T00:00:00"/>
    <d v="2016-10-10T09:00:00"/>
    <m/>
    <s v="Current"/>
    <s v="Current"/>
    <x v="11"/>
    <x v="2"/>
    <s v="Middle Aged"/>
    <x v="1"/>
    <s v="Bachelor"/>
    <x v="0"/>
    <s v="Male"/>
  </r>
  <r>
    <x v="49"/>
    <x v="0"/>
    <n v="800"/>
    <n v="15"/>
    <x v="3"/>
    <s v="9/25/2016"/>
    <s v="9/25/2016 19:21"/>
    <m/>
    <s v="Current"/>
    <s v="Current"/>
    <x v="1"/>
    <x v="1"/>
    <s v="Old"/>
    <x v="0"/>
    <s v="High School Or Below"/>
    <x v="0"/>
    <s v="Male"/>
  </r>
  <r>
    <x v="50"/>
    <x v="0"/>
    <n v="800"/>
    <n v="15"/>
    <x v="3"/>
    <s v="9/25/2016"/>
    <s v="9/25/2016 13:00"/>
    <m/>
    <s v="Current"/>
    <s v="Current"/>
    <x v="3"/>
    <x v="2"/>
    <s v="Middle Aged"/>
    <x v="2"/>
    <s v="College"/>
    <x v="1"/>
    <s v="Female"/>
  </r>
  <r>
    <x v="51"/>
    <x v="0"/>
    <n v="1000"/>
    <n v="30"/>
    <x v="3"/>
    <d v="2016-10-10T00:00:00"/>
    <d v="2016-10-10T09:00:00"/>
    <m/>
    <s v="Current"/>
    <s v="Current"/>
    <x v="5"/>
    <x v="0"/>
    <s v="Mature"/>
    <x v="1"/>
    <s v="Bachelor"/>
    <x v="1"/>
    <s v="Female"/>
  </r>
  <r>
    <x v="52"/>
    <x v="0"/>
    <n v="800"/>
    <n v="15"/>
    <x v="3"/>
    <s v="9/25/2016"/>
    <s v="9/13/2016 4:34"/>
    <m/>
    <s v="Current"/>
    <s v="Current"/>
    <x v="5"/>
    <x v="0"/>
    <s v="Mature"/>
    <x v="1"/>
    <s v="Bachelor"/>
    <x v="1"/>
    <s v="Female"/>
  </r>
  <r>
    <x v="53"/>
    <x v="0"/>
    <n v="1000"/>
    <n v="30"/>
    <x v="3"/>
    <d v="2016-10-10T00:00:00"/>
    <d v="2016-10-10T09:00:00"/>
    <m/>
    <s v="Current"/>
    <s v="Current"/>
    <x v="14"/>
    <x v="0"/>
    <s v="Mature"/>
    <x v="0"/>
    <s v="High School Or Below"/>
    <x v="0"/>
    <s v="Male"/>
  </r>
  <r>
    <x v="54"/>
    <x v="0"/>
    <n v="1000"/>
    <n v="30"/>
    <x v="3"/>
    <d v="2016-10-10T00:00:00"/>
    <d v="2016-10-10T16:00:00"/>
    <m/>
    <s v="Current"/>
    <s v="Current"/>
    <x v="18"/>
    <x v="3"/>
    <s v=" Young Adults"/>
    <x v="0"/>
    <s v="High School Or Below"/>
    <x v="0"/>
    <s v="Male"/>
  </r>
  <r>
    <x v="55"/>
    <x v="0"/>
    <n v="1000"/>
    <n v="15"/>
    <x v="3"/>
    <s v="9/25/2016"/>
    <s v="9/25/2016 16:00"/>
    <m/>
    <s v="Current"/>
    <s v="Current"/>
    <x v="13"/>
    <x v="3"/>
    <s v=" Young Adults"/>
    <x v="2"/>
    <s v="College"/>
    <x v="0"/>
    <s v="Male"/>
  </r>
  <r>
    <x v="56"/>
    <x v="0"/>
    <n v="1000"/>
    <n v="30"/>
    <x v="3"/>
    <d v="2016-10-10T00:00:00"/>
    <d v="2016-10-10T09:00:00"/>
    <m/>
    <s v="Current"/>
    <s v="Current"/>
    <x v="3"/>
    <x v="2"/>
    <s v="Middle Aged"/>
    <x v="0"/>
    <s v="High School Or Below"/>
    <x v="0"/>
    <s v="Male"/>
  </r>
  <r>
    <x v="57"/>
    <x v="0"/>
    <n v="1000"/>
    <n v="30"/>
    <x v="3"/>
    <d v="2016-10-10T00:00:00"/>
    <d v="2016-07-10T02:33:00"/>
    <m/>
    <s v="Current"/>
    <s v="Current"/>
    <x v="8"/>
    <x v="2"/>
    <s v="Middle Aged"/>
    <x v="1"/>
    <s v="Bachelor"/>
    <x v="0"/>
    <s v="Male"/>
  </r>
  <r>
    <x v="58"/>
    <x v="0"/>
    <n v="800"/>
    <n v="15"/>
    <x v="3"/>
    <s v="9/25/2016"/>
    <s v="9/24/2016 11:40"/>
    <m/>
    <s v="Current"/>
    <s v="Current"/>
    <x v="21"/>
    <x v="0"/>
    <s v="Mature"/>
    <x v="0"/>
    <s v="High School Or Below"/>
    <x v="1"/>
    <s v="Female"/>
  </r>
  <r>
    <x v="59"/>
    <x v="0"/>
    <n v="800"/>
    <n v="15"/>
    <x v="3"/>
    <s v="9/25/2016"/>
    <s v="9/22/2016 6:38"/>
    <m/>
    <s v="Current"/>
    <s v="Current"/>
    <x v="9"/>
    <x v="0"/>
    <s v="Mature"/>
    <x v="3"/>
    <s v="Master Or Above"/>
    <x v="0"/>
    <s v="Male"/>
  </r>
  <r>
    <x v="60"/>
    <x v="0"/>
    <n v="1000"/>
    <n v="30"/>
    <x v="3"/>
    <d v="2016-10-10T00:00:00"/>
    <s v="9/30/2016 21:12"/>
    <m/>
    <s v="Current"/>
    <s v="Current"/>
    <x v="14"/>
    <x v="0"/>
    <s v="Mature"/>
    <x v="1"/>
    <s v="Bachelor"/>
    <x v="0"/>
    <s v="Male"/>
  </r>
  <r>
    <x v="61"/>
    <x v="0"/>
    <n v="1000"/>
    <n v="15"/>
    <x v="3"/>
    <s v="9/25/2016"/>
    <s v="9/24/2016 13:42"/>
    <m/>
    <s v="Current"/>
    <s v="Current"/>
    <x v="16"/>
    <x v="0"/>
    <s v="Mature"/>
    <x v="2"/>
    <s v="College"/>
    <x v="0"/>
    <s v="Male"/>
  </r>
  <r>
    <x v="62"/>
    <x v="0"/>
    <n v="1000"/>
    <n v="30"/>
    <x v="3"/>
    <d v="2016-10-10T00:00:00"/>
    <d v="2016-08-10T07:25:00"/>
    <m/>
    <s v="Current"/>
    <s v="Current"/>
    <x v="14"/>
    <x v="0"/>
    <s v="Mature"/>
    <x v="0"/>
    <s v="High School Or Below"/>
    <x v="0"/>
    <s v="Male"/>
  </r>
  <r>
    <x v="63"/>
    <x v="0"/>
    <n v="1000"/>
    <n v="30"/>
    <x v="3"/>
    <d v="2016-10-10T00:00:00"/>
    <d v="2016-12-09T11:40:00"/>
    <m/>
    <s v="Current"/>
    <s v="Current"/>
    <x v="0"/>
    <x v="0"/>
    <s v="Mature"/>
    <x v="2"/>
    <s v="College"/>
    <x v="0"/>
    <s v="Male"/>
  </r>
  <r>
    <x v="64"/>
    <x v="0"/>
    <n v="800"/>
    <n v="15"/>
    <x v="3"/>
    <s v="9/25/2016"/>
    <s v="9/25/2016 14:38"/>
    <m/>
    <s v="Current"/>
    <s v="Current"/>
    <x v="17"/>
    <x v="3"/>
    <s v=" Young Adults"/>
    <x v="0"/>
    <s v="High School Or Below"/>
    <x v="0"/>
    <s v="Male"/>
  </r>
  <r>
    <x v="65"/>
    <x v="0"/>
    <n v="900"/>
    <n v="15"/>
    <x v="3"/>
    <s v="9/25/2016"/>
    <s v="9/25/2016 23:00"/>
    <m/>
    <s v="Current"/>
    <s v="Current"/>
    <x v="4"/>
    <x v="2"/>
    <s v="Middle Aged"/>
    <x v="2"/>
    <s v="College"/>
    <x v="0"/>
    <s v="Male"/>
  </r>
  <r>
    <x v="66"/>
    <x v="0"/>
    <n v="1000"/>
    <n v="30"/>
    <x v="3"/>
    <d v="2016-10-10T00:00:00"/>
    <d v="2016-08-10T12:04:00"/>
    <m/>
    <s v="Current"/>
    <s v="Current"/>
    <x v="4"/>
    <x v="2"/>
    <s v="Middle Aged"/>
    <x v="1"/>
    <s v="Bachelor"/>
    <x v="0"/>
    <s v="Male"/>
  </r>
  <r>
    <x v="67"/>
    <x v="0"/>
    <n v="1000"/>
    <n v="30"/>
    <x v="3"/>
    <d v="2016-10-10T00:00:00"/>
    <d v="2016-10-10T09:00:00"/>
    <m/>
    <s v="Current"/>
    <s v="Current"/>
    <x v="16"/>
    <x v="0"/>
    <s v="Mature"/>
    <x v="0"/>
    <s v="High School Or Below"/>
    <x v="0"/>
    <s v="Male"/>
  </r>
  <r>
    <x v="68"/>
    <x v="0"/>
    <n v="300"/>
    <n v="7"/>
    <x v="3"/>
    <s v="9/17/2016"/>
    <s v="9/14/2016 22:05"/>
    <m/>
    <s v="Current"/>
    <s v="Current"/>
    <x v="5"/>
    <x v="0"/>
    <s v="Mature"/>
    <x v="2"/>
    <s v="College"/>
    <x v="0"/>
    <s v="Male"/>
  </r>
  <r>
    <x v="69"/>
    <x v="0"/>
    <n v="1000"/>
    <n v="30"/>
    <x v="3"/>
    <d v="2016-10-10T00:00:00"/>
    <s v="9/24/2016 13:27"/>
    <m/>
    <s v="Current"/>
    <s v="Current"/>
    <x v="12"/>
    <x v="0"/>
    <s v="Mature"/>
    <x v="1"/>
    <s v="Bachelor"/>
    <x v="0"/>
    <s v="Male"/>
  </r>
  <r>
    <x v="70"/>
    <x v="0"/>
    <n v="800"/>
    <n v="15"/>
    <x v="3"/>
    <s v="9/25/2016"/>
    <s v="9/22/2016 21:18"/>
    <m/>
    <s v="Current"/>
    <s v="Current"/>
    <x v="6"/>
    <x v="2"/>
    <s v="Middle Aged"/>
    <x v="2"/>
    <s v="College"/>
    <x v="0"/>
    <s v="Male"/>
  </r>
  <r>
    <x v="71"/>
    <x v="0"/>
    <n v="800"/>
    <n v="15"/>
    <x v="3"/>
    <s v="9/25/2016"/>
    <s v="9/24/2016 22:53"/>
    <m/>
    <s v="Current"/>
    <s v="Current"/>
    <x v="6"/>
    <x v="2"/>
    <s v="Middle Aged"/>
    <x v="0"/>
    <s v="High School Or Below"/>
    <x v="0"/>
    <s v="Male"/>
  </r>
  <r>
    <x v="72"/>
    <x v="0"/>
    <n v="1000"/>
    <n v="30"/>
    <x v="3"/>
    <d v="2016-10-10T00:00:00"/>
    <d v="2016-10-10T16:00:00"/>
    <m/>
    <s v="Current"/>
    <s v="Current"/>
    <x v="2"/>
    <x v="2"/>
    <s v="Middle Aged"/>
    <x v="1"/>
    <s v="Bachelor"/>
    <x v="1"/>
    <s v="Female"/>
  </r>
  <r>
    <x v="73"/>
    <x v="0"/>
    <n v="1000"/>
    <n v="15"/>
    <x v="3"/>
    <s v="9/25/2016"/>
    <s v="9/25/2016 9:00"/>
    <m/>
    <s v="Current"/>
    <s v="Current"/>
    <x v="14"/>
    <x v="0"/>
    <s v="Mature"/>
    <x v="2"/>
    <s v="College"/>
    <x v="0"/>
    <s v="Male"/>
  </r>
  <r>
    <x v="74"/>
    <x v="0"/>
    <n v="1000"/>
    <n v="15"/>
    <x v="3"/>
    <s v="9/25/2016"/>
    <s v="9/25/2016 9:00"/>
    <m/>
    <s v="Current"/>
    <s v="Current"/>
    <x v="13"/>
    <x v="3"/>
    <s v=" Young Adults"/>
    <x v="2"/>
    <s v="College"/>
    <x v="0"/>
    <s v="Male"/>
  </r>
  <r>
    <x v="75"/>
    <x v="0"/>
    <n v="1000"/>
    <n v="30"/>
    <x v="3"/>
    <d v="2016-10-10T00:00:00"/>
    <d v="2016-08-10T13:12:00"/>
    <m/>
    <s v="Current"/>
    <s v="Current"/>
    <x v="19"/>
    <x v="2"/>
    <s v="Middle Aged"/>
    <x v="0"/>
    <s v="High School Or Below"/>
    <x v="0"/>
    <s v="Male"/>
  </r>
  <r>
    <x v="76"/>
    <x v="0"/>
    <n v="1000"/>
    <n v="30"/>
    <x v="3"/>
    <d v="2016-10-10T00:00:00"/>
    <d v="2016-09-10T13:49:00"/>
    <m/>
    <s v="Current"/>
    <s v="Current"/>
    <x v="15"/>
    <x v="2"/>
    <s v="Middle Aged"/>
    <x v="1"/>
    <s v="Bachelor"/>
    <x v="0"/>
    <s v="Male"/>
  </r>
  <r>
    <x v="77"/>
    <x v="0"/>
    <n v="1000"/>
    <n v="30"/>
    <x v="3"/>
    <d v="2016-10-10T00:00:00"/>
    <d v="2016-10-10T09:00:00"/>
    <m/>
    <s v="Current"/>
    <s v="Current"/>
    <x v="5"/>
    <x v="0"/>
    <s v="Mature"/>
    <x v="2"/>
    <s v="College"/>
    <x v="0"/>
    <s v="Male"/>
  </r>
  <r>
    <x v="78"/>
    <x v="0"/>
    <n v="1000"/>
    <n v="30"/>
    <x v="3"/>
    <d v="2016-10-10T00:00:00"/>
    <s v="9/30/2016 14:29"/>
    <m/>
    <s v="Current"/>
    <s v="Current"/>
    <x v="16"/>
    <x v="0"/>
    <s v="Mature"/>
    <x v="2"/>
    <s v="College"/>
    <x v="1"/>
    <s v="Female"/>
  </r>
  <r>
    <x v="79"/>
    <x v="0"/>
    <n v="1000"/>
    <n v="30"/>
    <x v="3"/>
    <d v="2016-10-10T00:00:00"/>
    <d v="2016-10-10T09:00:00"/>
    <m/>
    <s v="Current"/>
    <s v="Current"/>
    <x v="21"/>
    <x v="0"/>
    <s v="Mature"/>
    <x v="0"/>
    <s v="High School Or Below"/>
    <x v="1"/>
    <s v="Female"/>
  </r>
  <r>
    <x v="80"/>
    <x v="0"/>
    <n v="1000"/>
    <n v="30"/>
    <x v="3"/>
    <d v="2016-10-10T00:00:00"/>
    <s v="9/21/2016 16:18"/>
    <m/>
    <s v="Current"/>
    <s v="Current"/>
    <x v="4"/>
    <x v="2"/>
    <s v="Middle Aged"/>
    <x v="0"/>
    <s v="High School Or Below"/>
    <x v="0"/>
    <s v="Male"/>
  </r>
  <r>
    <x v="81"/>
    <x v="0"/>
    <n v="1000"/>
    <n v="7"/>
    <x v="3"/>
    <s v="9/17/2016"/>
    <s v="9/13/2016 14:53"/>
    <m/>
    <s v="Current"/>
    <s v="Current"/>
    <x v="13"/>
    <x v="3"/>
    <s v=" Young Adults"/>
    <x v="2"/>
    <s v="College"/>
    <x v="0"/>
    <s v="Male"/>
  </r>
  <r>
    <x v="82"/>
    <x v="0"/>
    <n v="1000"/>
    <n v="15"/>
    <x v="3"/>
    <s v="9/25/2016"/>
    <s v="9/25/2016 9:00"/>
    <m/>
    <s v="Current"/>
    <s v="Current"/>
    <x v="6"/>
    <x v="2"/>
    <s v="Middle Aged"/>
    <x v="2"/>
    <s v="College"/>
    <x v="0"/>
    <s v="Male"/>
  </r>
  <r>
    <x v="83"/>
    <x v="0"/>
    <n v="800"/>
    <n v="15"/>
    <x v="3"/>
    <s v="9/25/2016"/>
    <s v="9/25/2016 13:00"/>
    <m/>
    <s v="Current"/>
    <s v="Current"/>
    <x v="2"/>
    <x v="2"/>
    <s v="Middle Aged"/>
    <x v="2"/>
    <s v="College"/>
    <x v="0"/>
    <s v="Male"/>
  </r>
  <r>
    <x v="84"/>
    <x v="0"/>
    <n v="1000"/>
    <n v="30"/>
    <x v="3"/>
    <d v="2016-10-10T00:00:00"/>
    <d v="2016-10-10T13:00:00"/>
    <m/>
    <s v="Current"/>
    <s v="Current"/>
    <x v="16"/>
    <x v="0"/>
    <s v="Mature"/>
    <x v="0"/>
    <s v="High School Or Below"/>
    <x v="1"/>
    <s v="Female"/>
  </r>
  <r>
    <x v="85"/>
    <x v="0"/>
    <n v="1000"/>
    <n v="30"/>
    <x v="3"/>
    <d v="2016-09-11T00:00:00"/>
    <d v="2016-09-11T09:00:00"/>
    <m/>
    <s v="Current"/>
    <s v="Current"/>
    <x v="2"/>
    <x v="2"/>
    <s v="Middle Aged"/>
    <x v="2"/>
    <s v="College"/>
    <x v="0"/>
    <s v="Male"/>
  </r>
  <r>
    <x v="86"/>
    <x v="0"/>
    <n v="1000"/>
    <n v="30"/>
    <x v="3"/>
    <d v="2016-10-10T00:00:00"/>
    <d v="2016-10-10T09:00:00"/>
    <m/>
    <s v="Current"/>
    <s v="Current"/>
    <x v="17"/>
    <x v="3"/>
    <s v=" Young Adults"/>
    <x v="0"/>
    <s v="High School Or Below"/>
    <x v="1"/>
    <s v="Female"/>
  </r>
  <r>
    <x v="87"/>
    <x v="0"/>
    <n v="1000"/>
    <n v="30"/>
    <x v="3"/>
    <d v="2016-10-10T00:00:00"/>
    <s v="9/17/2016 13:01"/>
    <m/>
    <s v="Current"/>
    <s v="Current"/>
    <x v="3"/>
    <x v="2"/>
    <s v="Middle Aged"/>
    <x v="2"/>
    <s v="College"/>
    <x v="1"/>
    <s v="Female"/>
  </r>
  <r>
    <x v="88"/>
    <x v="0"/>
    <n v="800"/>
    <n v="15"/>
    <x v="3"/>
    <s v="9/25/2016"/>
    <s v="9/21/2016 9:35"/>
    <m/>
    <s v="Current"/>
    <s v="Current"/>
    <x v="12"/>
    <x v="0"/>
    <s v="Mature"/>
    <x v="1"/>
    <s v="Bachelor"/>
    <x v="0"/>
    <s v="Male"/>
  </r>
  <r>
    <x v="89"/>
    <x v="0"/>
    <n v="800"/>
    <n v="15"/>
    <x v="3"/>
    <s v="9/25/2016"/>
    <s v="9/24/2016 20:33"/>
    <m/>
    <s v="Current"/>
    <s v="Current"/>
    <x v="22"/>
    <x v="0"/>
    <s v="Mature"/>
    <x v="0"/>
    <s v="High School Or Below"/>
    <x v="1"/>
    <s v="Female"/>
  </r>
  <r>
    <x v="90"/>
    <x v="0"/>
    <n v="800"/>
    <n v="15"/>
    <x v="3"/>
    <s v="9/25/2016"/>
    <s v="9/25/2016 9:00"/>
    <m/>
    <s v="Current"/>
    <s v="Current"/>
    <x v="14"/>
    <x v="0"/>
    <s v="Mature"/>
    <x v="2"/>
    <s v="College"/>
    <x v="1"/>
    <s v="Female"/>
  </r>
  <r>
    <x v="91"/>
    <x v="0"/>
    <n v="1000"/>
    <n v="7"/>
    <x v="3"/>
    <s v="9/17/2016"/>
    <s v="9/17/2016 9:00"/>
    <m/>
    <s v="Current"/>
    <s v="Current"/>
    <x v="11"/>
    <x v="2"/>
    <s v="Middle Aged"/>
    <x v="1"/>
    <s v="Bachelor"/>
    <x v="1"/>
    <s v="Female"/>
  </r>
  <r>
    <x v="92"/>
    <x v="0"/>
    <n v="800"/>
    <n v="15"/>
    <x v="3"/>
    <s v="9/25/2016"/>
    <s v="9/24/2016 0:12"/>
    <m/>
    <s v="Current"/>
    <s v="Current"/>
    <x v="23"/>
    <x v="0"/>
    <s v="Mature"/>
    <x v="0"/>
    <s v="High School Or Below"/>
    <x v="0"/>
    <s v="Male"/>
  </r>
  <r>
    <x v="93"/>
    <x v="0"/>
    <n v="800"/>
    <n v="15"/>
    <x v="3"/>
    <s v="9/25/2016"/>
    <s v="9/21/2016 12:43"/>
    <m/>
    <s v="Current"/>
    <s v="Current"/>
    <x v="3"/>
    <x v="2"/>
    <s v="Middle Aged"/>
    <x v="0"/>
    <s v="High School Or Below"/>
    <x v="0"/>
    <s v="Male"/>
  </r>
  <r>
    <x v="94"/>
    <x v="0"/>
    <n v="1000"/>
    <n v="30"/>
    <x v="3"/>
    <d v="2016-10-10T00:00:00"/>
    <d v="2016-10-10T13:00:00"/>
    <m/>
    <s v="Current"/>
    <s v="Current"/>
    <x v="2"/>
    <x v="2"/>
    <s v="Middle Aged"/>
    <x v="0"/>
    <s v="High School Or Below"/>
    <x v="0"/>
    <s v="Male"/>
  </r>
  <r>
    <x v="95"/>
    <x v="0"/>
    <n v="1000"/>
    <n v="30"/>
    <x v="3"/>
    <d v="2016-10-10T00:00:00"/>
    <d v="2016-08-10T20:49:00"/>
    <m/>
    <s v="Current"/>
    <s v="Current"/>
    <x v="7"/>
    <x v="0"/>
    <s v="Mature"/>
    <x v="2"/>
    <s v="College"/>
    <x v="0"/>
    <s v="Male"/>
  </r>
  <r>
    <x v="96"/>
    <x v="0"/>
    <n v="1000"/>
    <n v="15"/>
    <x v="3"/>
    <s v="9/25/2016"/>
    <s v="9/20/2016 5:38"/>
    <m/>
    <s v="Current"/>
    <s v="Current"/>
    <x v="8"/>
    <x v="2"/>
    <s v="Middle Aged"/>
    <x v="0"/>
    <s v="High School Or Below"/>
    <x v="0"/>
    <s v="Male"/>
  </r>
  <r>
    <x v="97"/>
    <x v="0"/>
    <n v="1000"/>
    <n v="30"/>
    <x v="3"/>
    <d v="2016-10-10T00:00:00"/>
    <d v="2016-10-10T09:01:00"/>
    <m/>
    <s v="Current"/>
    <s v="Current"/>
    <x v="14"/>
    <x v="0"/>
    <s v="Mature"/>
    <x v="2"/>
    <s v="College"/>
    <x v="0"/>
    <s v="Male"/>
  </r>
  <r>
    <x v="98"/>
    <x v="0"/>
    <n v="1000"/>
    <n v="30"/>
    <x v="3"/>
    <d v="2016-10-10T00:00:00"/>
    <d v="2016-10-10T09:01:00"/>
    <m/>
    <s v="Current"/>
    <s v="Current"/>
    <x v="20"/>
    <x v="3"/>
    <s v=" Young Adults"/>
    <x v="0"/>
    <s v="High School Or Below"/>
    <x v="0"/>
    <s v="Male"/>
  </r>
  <r>
    <x v="99"/>
    <x v="0"/>
    <n v="1000"/>
    <n v="30"/>
    <x v="3"/>
    <d v="2016-10-10T00:00:00"/>
    <d v="2016-08-10T16:55:00"/>
    <m/>
    <s v="Current"/>
    <s v="Current"/>
    <x v="15"/>
    <x v="2"/>
    <s v="Middle Aged"/>
    <x v="1"/>
    <s v="Bachelor"/>
    <x v="1"/>
    <s v="Female"/>
  </r>
  <r>
    <x v="100"/>
    <x v="0"/>
    <n v="1000"/>
    <n v="7"/>
    <x v="3"/>
    <s v="9/17/2016"/>
    <s v="9/17/2016 9:00"/>
    <m/>
    <s v="Current"/>
    <s v="Current"/>
    <x v="6"/>
    <x v="2"/>
    <s v="Middle Aged"/>
    <x v="0"/>
    <s v="High School Or Below"/>
    <x v="0"/>
    <s v="Male"/>
  </r>
  <r>
    <x v="101"/>
    <x v="0"/>
    <n v="800"/>
    <n v="15"/>
    <x v="3"/>
    <s v="9/25/2016"/>
    <s v="9/25/2016 9:00"/>
    <m/>
    <s v="Current"/>
    <s v="Current"/>
    <x v="23"/>
    <x v="0"/>
    <s v="Mature"/>
    <x v="2"/>
    <s v="College"/>
    <x v="0"/>
    <s v="Male"/>
  </r>
  <r>
    <x v="102"/>
    <x v="0"/>
    <n v="1000"/>
    <n v="30"/>
    <x v="3"/>
    <d v="2016-10-10T00:00:00"/>
    <d v="2016-10-10T16:00:00"/>
    <m/>
    <s v="Current"/>
    <s v="Current"/>
    <x v="19"/>
    <x v="2"/>
    <s v="Middle Aged"/>
    <x v="2"/>
    <s v="College"/>
    <x v="0"/>
    <s v="Male"/>
  </r>
  <r>
    <x v="103"/>
    <x v="0"/>
    <n v="1000"/>
    <n v="15"/>
    <x v="3"/>
    <s v="9/25/2016"/>
    <s v="9/25/2016 23:48"/>
    <m/>
    <s v="Current"/>
    <s v="Current"/>
    <x v="0"/>
    <x v="0"/>
    <s v="Mature"/>
    <x v="0"/>
    <s v="High School Or Below"/>
    <x v="0"/>
    <s v="Male"/>
  </r>
  <r>
    <x v="104"/>
    <x v="0"/>
    <n v="1000"/>
    <n v="15"/>
    <x v="3"/>
    <s v="9/25/2016"/>
    <s v="9/22/2016 13:15"/>
    <m/>
    <s v="Current"/>
    <s v="Current"/>
    <x v="5"/>
    <x v="0"/>
    <s v="Mature"/>
    <x v="2"/>
    <s v="College"/>
    <x v="0"/>
    <s v="Male"/>
  </r>
  <r>
    <x v="105"/>
    <x v="0"/>
    <n v="1000"/>
    <n v="30"/>
    <x v="3"/>
    <d v="2016-10-10T00:00:00"/>
    <s v="9/23/2016 13:31"/>
    <m/>
    <s v="Current"/>
    <s v="Current"/>
    <x v="19"/>
    <x v="2"/>
    <s v="Middle Aged"/>
    <x v="2"/>
    <s v="College"/>
    <x v="0"/>
    <s v="Male"/>
  </r>
  <r>
    <x v="106"/>
    <x v="0"/>
    <n v="1000"/>
    <n v="30"/>
    <x v="3"/>
    <d v="2016-10-10T00:00:00"/>
    <d v="2016-08-10T17:19:00"/>
    <m/>
    <s v="Current"/>
    <s v="Current"/>
    <x v="15"/>
    <x v="2"/>
    <s v="Middle Aged"/>
    <x v="0"/>
    <s v="High School Or Below"/>
    <x v="0"/>
    <s v="Male"/>
  </r>
  <r>
    <x v="107"/>
    <x v="0"/>
    <n v="1000"/>
    <n v="30"/>
    <x v="3"/>
    <d v="2016-10-10T00:00:00"/>
    <d v="2016-10-10T09:01:00"/>
    <m/>
    <s v="Current"/>
    <s v="Current"/>
    <x v="15"/>
    <x v="2"/>
    <s v="Middle Aged"/>
    <x v="0"/>
    <s v="High School Or Below"/>
    <x v="0"/>
    <s v="Male"/>
  </r>
  <r>
    <x v="108"/>
    <x v="0"/>
    <n v="1000"/>
    <n v="30"/>
    <x v="3"/>
    <d v="2016-10-10T00:00:00"/>
    <d v="2016-09-10T13:05:00"/>
    <m/>
    <s v="Current"/>
    <s v="Current"/>
    <x v="4"/>
    <x v="2"/>
    <s v="Middle Aged"/>
    <x v="2"/>
    <s v="College"/>
    <x v="0"/>
    <s v="Male"/>
  </r>
  <r>
    <x v="109"/>
    <x v="0"/>
    <n v="1000"/>
    <n v="7"/>
    <x v="3"/>
    <s v="9/24/2016"/>
    <s v="9/24/2016 13:00"/>
    <m/>
    <s v="Current"/>
    <s v="Current"/>
    <x v="6"/>
    <x v="2"/>
    <s v="Middle Aged"/>
    <x v="2"/>
    <s v="College"/>
    <x v="0"/>
    <s v="Male"/>
  </r>
  <r>
    <x v="110"/>
    <x v="0"/>
    <n v="800"/>
    <n v="15"/>
    <x v="3"/>
    <s v="9/25/2016"/>
    <s v="9/20/2016 20:47"/>
    <m/>
    <s v="Current"/>
    <s v="Current"/>
    <x v="6"/>
    <x v="2"/>
    <s v="Middle Aged"/>
    <x v="2"/>
    <s v="College"/>
    <x v="0"/>
    <s v="Male"/>
  </r>
  <r>
    <x v="111"/>
    <x v="0"/>
    <n v="1000"/>
    <n v="30"/>
    <x v="3"/>
    <d v="2016-09-11T00:00:00"/>
    <d v="2016-09-11T09:00:00"/>
    <m/>
    <s v="Current"/>
    <s v="Current"/>
    <x v="3"/>
    <x v="2"/>
    <s v="Middle Aged"/>
    <x v="2"/>
    <s v="College"/>
    <x v="1"/>
    <s v="Female"/>
  </r>
  <r>
    <x v="112"/>
    <x v="0"/>
    <n v="1000"/>
    <n v="30"/>
    <x v="3"/>
    <d v="2016-10-10T00:00:00"/>
    <d v="2016-10-10T09:01:00"/>
    <m/>
    <s v="Current"/>
    <s v="Current"/>
    <x v="3"/>
    <x v="2"/>
    <s v="Middle Aged"/>
    <x v="2"/>
    <s v="College"/>
    <x v="0"/>
    <s v="Male"/>
  </r>
  <r>
    <x v="113"/>
    <x v="0"/>
    <n v="1000"/>
    <n v="30"/>
    <x v="3"/>
    <d v="2016-10-10T00:00:00"/>
    <d v="2016-10-10T13:01:00"/>
    <m/>
    <s v="Current"/>
    <s v="Current"/>
    <x v="2"/>
    <x v="2"/>
    <s v="Middle Aged"/>
    <x v="2"/>
    <s v="College"/>
    <x v="0"/>
    <s v="Male"/>
  </r>
  <r>
    <x v="114"/>
    <x v="0"/>
    <n v="1000"/>
    <n v="30"/>
    <x v="3"/>
    <d v="2016-10-10T00:00:00"/>
    <d v="2016-08-10T21:39:00"/>
    <m/>
    <s v="Current"/>
    <s v="Current"/>
    <x v="4"/>
    <x v="2"/>
    <s v="Middle Aged"/>
    <x v="2"/>
    <s v="College"/>
    <x v="0"/>
    <s v="Male"/>
  </r>
  <r>
    <x v="115"/>
    <x v="0"/>
    <n v="1000"/>
    <n v="15"/>
    <x v="3"/>
    <s v="9/25/2016"/>
    <s v="9/25/2016 23:00"/>
    <m/>
    <s v="Current"/>
    <s v="Current"/>
    <x v="13"/>
    <x v="3"/>
    <s v=" Young Adults"/>
    <x v="0"/>
    <s v="High School Or Below"/>
    <x v="0"/>
    <s v="Male"/>
  </r>
  <r>
    <x v="116"/>
    <x v="0"/>
    <n v="1000"/>
    <n v="30"/>
    <x v="3"/>
    <d v="2016-10-10T00:00:00"/>
    <d v="2016-07-10T14:23:00"/>
    <m/>
    <s v="Current"/>
    <s v="Current"/>
    <x v="10"/>
    <x v="0"/>
    <s v="Mature"/>
    <x v="2"/>
    <s v="College"/>
    <x v="0"/>
    <s v="Male"/>
  </r>
  <r>
    <x v="117"/>
    <x v="0"/>
    <n v="1000"/>
    <n v="30"/>
    <x v="3"/>
    <d v="2016-10-10T00:00:00"/>
    <d v="2016-06-10T15:25:00"/>
    <m/>
    <s v="Current"/>
    <s v="Current"/>
    <x v="24"/>
    <x v="3"/>
    <s v=" Young Adults"/>
    <x v="0"/>
    <s v="High School Or Below"/>
    <x v="0"/>
    <s v="Male"/>
  </r>
  <r>
    <x v="118"/>
    <x v="0"/>
    <n v="1000"/>
    <n v="30"/>
    <x v="3"/>
    <d v="2016-10-10T00:00:00"/>
    <d v="2016-08-10T06:56:00"/>
    <m/>
    <s v="Current"/>
    <s v="Current"/>
    <x v="5"/>
    <x v="0"/>
    <s v="Mature"/>
    <x v="1"/>
    <s v="Bachelor"/>
    <x v="0"/>
    <s v="Male"/>
  </r>
  <r>
    <x v="119"/>
    <x v="0"/>
    <n v="800"/>
    <n v="15"/>
    <x v="3"/>
    <s v="9/25/2016"/>
    <s v="9/16/2016 11:58"/>
    <m/>
    <s v="Current"/>
    <s v="Current"/>
    <x v="17"/>
    <x v="3"/>
    <s v=" Young Adults"/>
    <x v="2"/>
    <s v="College"/>
    <x v="0"/>
    <s v="Male"/>
  </r>
  <r>
    <x v="120"/>
    <x v="0"/>
    <n v="1000"/>
    <n v="30"/>
    <x v="3"/>
    <d v="2016-10-10T00:00:00"/>
    <d v="2016-10-10T16:01:00"/>
    <m/>
    <s v="Current"/>
    <s v="Current"/>
    <x v="14"/>
    <x v="0"/>
    <s v="Mature"/>
    <x v="2"/>
    <s v="College"/>
    <x v="0"/>
    <s v="Male"/>
  </r>
  <r>
    <x v="121"/>
    <x v="0"/>
    <n v="1000"/>
    <n v="30"/>
    <x v="3"/>
    <d v="2016-10-10T00:00:00"/>
    <s v="9/27/2016 7:02"/>
    <m/>
    <s v="Current"/>
    <s v="Current"/>
    <x v="20"/>
    <x v="3"/>
    <s v=" Young Adults"/>
    <x v="0"/>
    <s v="High School Or Below"/>
    <x v="0"/>
    <s v="Male"/>
  </r>
  <r>
    <x v="122"/>
    <x v="0"/>
    <n v="1000"/>
    <n v="15"/>
    <x v="3"/>
    <s v="10/25/2016"/>
    <s v="10/25/2016 9:00"/>
    <m/>
    <s v="Current"/>
    <s v="Current"/>
    <x v="25"/>
    <x v="3"/>
    <s v=" Young Adults"/>
    <x v="2"/>
    <s v="College"/>
    <x v="0"/>
    <s v="Male"/>
  </r>
  <r>
    <x v="123"/>
    <x v="0"/>
    <n v="1000"/>
    <n v="15"/>
    <x v="3"/>
    <s v="9/25/2016"/>
    <s v="9/24/2016 11:02"/>
    <m/>
    <s v="Current"/>
    <s v="Current"/>
    <x v="24"/>
    <x v="3"/>
    <s v=" Young Adults"/>
    <x v="2"/>
    <s v="College"/>
    <x v="0"/>
    <s v="Male"/>
  </r>
  <r>
    <x v="124"/>
    <x v="0"/>
    <n v="1000"/>
    <n v="30"/>
    <x v="3"/>
    <d v="2016-10-10T00:00:00"/>
    <s v="9/29/2016 18:57"/>
    <m/>
    <s v="Current"/>
    <s v="Current"/>
    <x v="2"/>
    <x v="2"/>
    <s v="Middle Aged"/>
    <x v="2"/>
    <s v="College"/>
    <x v="0"/>
    <s v="Male"/>
  </r>
  <r>
    <x v="125"/>
    <x v="0"/>
    <n v="1000"/>
    <n v="30"/>
    <x v="3"/>
    <d v="2016-10-10T00:00:00"/>
    <d v="2016-10-10T13:01:00"/>
    <m/>
    <s v="Current"/>
    <s v="Current"/>
    <x v="8"/>
    <x v="2"/>
    <s v="Middle Aged"/>
    <x v="2"/>
    <s v="College"/>
    <x v="0"/>
    <s v="Male"/>
  </r>
  <r>
    <x v="126"/>
    <x v="0"/>
    <n v="1000"/>
    <n v="15"/>
    <x v="3"/>
    <s v="9/25/2016"/>
    <s v="9/25/2016 9:00"/>
    <m/>
    <s v="Current"/>
    <s v="Current"/>
    <x v="4"/>
    <x v="2"/>
    <s v="Middle Aged"/>
    <x v="0"/>
    <s v="High School Or Below"/>
    <x v="0"/>
    <s v="Male"/>
  </r>
  <r>
    <x v="127"/>
    <x v="0"/>
    <n v="800"/>
    <n v="15"/>
    <x v="3"/>
    <s v="9/25/2016"/>
    <s v="9/25/2016 12:24"/>
    <m/>
    <s v="Current"/>
    <s v="Current"/>
    <x v="12"/>
    <x v="0"/>
    <s v="Mature"/>
    <x v="0"/>
    <s v="High School Or Below"/>
    <x v="0"/>
    <s v="Male"/>
  </r>
  <r>
    <x v="128"/>
    <x v="0"/>
    <n v="1000"/>
    <n v="15"/>
    <x v="3"/>
    <s v="9/25/2016"/>
    <s v="9/25/2016 13:00"/>
    <m/>
    <s v="Current"/>
    <s v="Current"/>
    <x v="14"/>
    <x v="0"/>
    <s v="Mature"/>
    <x v="1"/>
    <s v="Bachelor"/>
    <x v="0"/>
    <s v="Male"/>
  </r>
  <r>
    <x v="129"/>
    <x v="0"/>
    <n v="1000"/>
    <n v="30"/>
    <x v="3"/>
    <d v="2016-10-10T00:00:00"/>
    <s v="9/26/2016 4:41"/>
    <m/>
    <s v="Current"/>
    <s v="Current"/>
    <x v="23"/>
    <x v="0"/>
    <s v="Mature"/>
    <x v="1"/>
    <s v="Bachelor"/>
    <x v="0"/>
    <s v="Male"/>
  </r>
  <r>
    <x v="130"/>
    <x v="0"/>
    <n v="1000"/>
    <n v="15"/>
    <x v="3"/>
    <s v="9/25/2016"/>
    <s v="9/22/2016 15:44"/>
    <m/>
    <s v="Current"/>
    <s v="Current"/>
    <x v="8"/>
    <x v="2"/>
    <s v="Middle Aged"/>
    <x v="0"/>
    <s v="High School Or Below"/>
    <x v="0"/>
    <s v="Male"/>
  </r>
  <r>
    <x v="131"/>
    <x v="0"/>
    <n v="800"/>
    <n v="15"/>
    <x v="3"/>
    <s v="9/25/2016"/>
    <s v="9/25/2016 16:00"/>
    <m/>
    <s v="Current"/>
    <s v="Current"/>
    <x v="12"/>
    <x v="0"/>
    <s v="Mature"/>
    <x v="0"/>
    <s v="High School Or Below"/>
    <x v="0"/>
    <s v="Male"/>
  </r>
  <r>
    <x v="132"/>
    <x v="0"/>
    <n v="1000"/>
    <n v="30"/>
    <x v="3"/>
    <d v="2016-10-10T00:00:00"/>
    <d v="2016-10-10T16:13:00"/>
    <m/>
    <s v="Current"/>
    <s v="Current"/>
    <x v="8"/>
    <x v="2"/>
    <s v="Middle Aged"/>
    <x v="0"/>
    <s v="High School Or Below"/>
    <x v="0"/>
    <s v="Male"/>
  </r>
  <r>
    <x v="133"/>
    <x v="0"/>
    <n v="1000"/>
    <n v="30"/>
    <x v="3"/>
    <d v="2016-10-10T00:00:00"/>
    <s v="9/30/2016 7:12"/>
    <m/>
    <s v="Current"/>
    <s v="Current"/>
    <x v="2"/>
    <x v="2"/>
    <s v="Middle Aged"/>
    <x v="2"/>
    <s v="College"/>
    <x v="1"/>
    <s v="Female"/>
  </r>
  <r>
    <x v="134"/>
    <x v="0"/>
    <n v="800"/>
    <n v="15"/>
    <x v="3"/>
    <s v="9/25/2016"/>
    <s v="9/23/2016 11:26"/>
    <m/>
    <s v="Current"/>
    <s v="Current"/>
    <x v="17"/>
    <x v="3"/>
    <s v=" Young Adults"/>
    <x v="2"/>
    <s v="College"/>
    <x v="0"/>
    <s v="Male"/>
  </r>
  <r>
    <x v="135"/>
    <x v="0"/>
    <n v="1000"/>
    <n v="30"/>
    <x v="3"/>
    <d v="2016-10-10T00:00:00"/>
    <d v="2016-12-09T10:26:00"/>
    <m/>
    <s v="Current"/>
    <s v="Current"/>
    <x v="19"/>
    <x v="2"/>
    <s v="Middle Aged"/>
    <x v="0"/>
    <s v="High School Or Below"/>
    <x v="0"/>
    <s v="Male"/>
  </r>
  <r>
    <x v="136"/>
    <x v="0"/>
    <n v="800"/>
    <n v="15"/>
    <x v="3"/>
    <s v="9/25/2016"/>
    <s v="9/25/2016 13:00"/>
    <m/>
    <s v="Current"/>
    <s v="Current"/>
    <x v="11"/>
    <x v="2"/>
    <s v="Middle Aged"/>
    <x v="0"/>
    <s v="High School Or Below"/>
    <x v="1"/>
    <s v="Female"/>
  </r>
  <r>
    <x v="137"/>
    <x v="0"/>
    <n v="1000"/>
    <n v="15"/>
    <x v="3"/>
    <s v="10/25/2016"/>
    <s v="10/25/2016 9:00"/>
    <m/>
    <s v="Current"/>
    <s v="Current"/>
    <x v="20"/>
    <x v="3"/>
    <s v=" Young Adults"/>
    <x v="2"/>
    <s v="College"/>
    <x v="0"/>
    <s v="Male"/>
  </r>
  <r>
    <x v="138"/>
    <x v="0"/>
    <n v="1000"/>
    <n v="15"/>
    <x v="3"/>
    <s v="9/25/2016"/>
    <s v="9/22/2016 21:45"/>
    <m/>
    <s v="Current"/>
    <s v="Current"/>
    <x v="26"/>
    <x v="0"/>
    <s v="Mature"/>
    <x v="0"/>
    <s v="High School Or Below"/>
    <x v="0"/>
    <s v="Male"/>
  </r>
  <r>
    <x v="139"/>
    <x v="0"/>
    <n v="1000"/>
    <n v="30"/>
    <x v="3"/>
    <d v="2016-10-10T00:00:00"/>
    <d v="2016-09-10T20:28:00"/>
    <m/>
    <s v="Current"/>
    <s v="Current"/>
    <x v="25"/>
    <x v="3"/>
    <s v=" Young Adults"/>
    <x v="0"/>
    <s v="High School Or Below"/>
    <x v="0"/>
    <s v="Male"/>
  </r>
  <r>
    <x v="140"/>
    <x v="0"/>
    <n v="1000"/>
    <n v="30"/>
    <x v="3"/>
    <d v="2016-10-10T00:00:00"/>
    <d v="2016-01-10T16:48:00"/>
    <m/>
    <s v="Current"/>
    <s v="Current"/>
    <x v="4"/>
    <x v="2"/>
    <s v="Middle Aged"/>
    <x v="0"/>
    <s v="High School Or Below"/>
    <x v="0"/>
    <s v="Male"/>
  </r>
  <r>
    <x v="141"/>
    <x v="0"/>
    <n v="800"/>
    <n v="15"/>
    <x v="3"/>
    <s v="9/25/2016"/>
    <s v="9/25/2016 9:01"/>
    <m/>
    <s v="Current"/>
    <s v="Current"/>
    <x v="5"/>
    <x v="0"/>
    <s v="Mature"/>
    <x v="2"/>
    <s v="College"/>
    <x v="0"/>
    <s v="Male"/>
  </r>
  <r>
    <x v="142"/>
    <x v="0"/>
    <n v="1000"/>
    <n v="7"/>
    <x v="3"/>
    <s v="9/17/2016"/>
    <s v="9/15/2016 20:36"/>
    <m/>
    <s v="Current"/>
    <s v="Current"/>
    <x v="3"/>
    <x v="2"/>
    <s v="Middle Aged"/>
    <x v="0"/>
    <s v="High School Or Below"/>
    <x v="0"/>
    <s v="Male"/>
  </r>
  <r>
    <x v="143"/>
    <x v="0"/>
    <n v="800"/>
    <n v="15"/>
    <x v="3"/>
    <s v="9/25/2016"/>
    <s v="9/21/2016 15:33"/>
    <m/>
    <s v="Current"/>
    <s v="Current"/>
    <x v="2"/>
    <x v="2"/>
    <s v="Middle Aged"/>
    <x v="2"/>
    <s v="College"/>
    <x v="1"/>
    <s v="Female"/>
  </r>
  <r>
    <x v="144"/>
    <x v="0"/>
    <n v="1000"/>
    <n v="30"/>
    <x v="3"/>
    <d v="2016-10-10T00:00:00"/>
    <s v="9/29/2016 13:36"/>
    <m/>
    <s v="Current"/>
    <s v="Current"/>
    <x v="19"/>
    <x v="2"/>
    <s v="Middle Aged"/>
    <x v="0"/>
    <s v="High School Or Below"/>
    <x v="0"/>
    <s v="Male"/>
  </r>
  <r>
    <x v="145"/>
    <x v="0"/>
    <n v="1000"/>
    <n v="15"/>
    <x v="3"/>
    <s v="9/25/2016"/>
    <s v="9/22/2016 20:51"/>
    <m/>
    <s v="Current"/>
    <s v="Current"/>
    <x v="15"/>
    <x v="2"/>
    <s v="Middle Aged"/>
    <x v="2"/>
    <s v="College"/>
    <x v="0"/>
    <s v="Male"/>
  </r>
  <r>
    <x v="146"/>
    <x v="0"/>
    <n v="1000"/>
    <n v="30"/>
    <x v="3"/>
    <d v="2016-09-11T00:00:00"/>
    <d v="2016-09-11T23:00:00"/>
    <m/>
    <s v="Current"/>
    <s v="Current"/>
    <x v="8"/>
    <x v="2"/>
    <s v="Middle Aged"/>
    <x v="2"/>
    <s v="College"/>
    <x v="1"/>
    <s v="Female"/>
  </r>
  <r>
    <x v="147"/>
    <x v="0"/>
    <n v="300"/>
    <n v="7"/>
    <x v="4"/>
    <s v="9/18/2016"/>
    <s v="9/18/2016 9:00"/>
    <m/>
    <s v="Current"/>
    <s v="Current"/>
    <x v="16"/>
    <x v="0"/>
    <s v="Mature"/>
    <x v="3"/>
    <s v="Master Or Above"/>
    <x v="0"/>
    <s v="Male"/>
  </r>
  <r>
    <x v="148"/>
    <x v="0"/>
    <n v="1000"/>
    <n v="15"/>
    <x v="4"/>
    <s v="9/26/2016"/>
    <s v="9/26/2016 9:00"/>
    <m/>
    <s v="Current"/>
    <s v="Current"/>
    <x v="8"/>
    <x v="2"/>
    <s v="Middle Aged"/>
    <x v="1"/>
    <s v="Bachelor"/>
    <x v="0"/>
    <s v="Male"/>
  </r>
  <r>
    <x v="149"/>
    <x v="0"/>
    <n v="800"/>
    <n v="15"/>
    <x v="4"/>
    <s v="9/26/2016"/>
    <s v="9/24/2016 10:14"/>
    <m/>
    <s v="Current"/>
    <s v="Current"/>
    <x v="5"/>
    <x v="0"/>
    <s v="Mature"/>
    <x v="1"/>
    <s v="Bachelor"/>
    <x v="0"/>
    <s v="Male"/>
  </r>
  <r>
    <x v="150"/>
    <x v="0"/>
    <n v="1000"/>
    <n v="15"/>
    <x v="4"/>
    <s v="10/26/2016"/>
    <s v="10/26/2016 9:00"/>
    <m/>
    <s v="Current"/>
    <s v="Current"/>
    <x v="6"/>
    <x v="2"/>
    <s v="Middle Aged"/>
    <x v="2"/>
    <s v="College"/>
    <x v="0"/>
    <s v="Male"/>
  </r>
  <r>
    <x v="151"/>
    <x v="0"/>
    <n v="800"/>
    <n v="15"/>
    <x v="4"/>
    <s v="9/26/2016"/>
    <s v="9/23/2016 20:30"/>
    <m/>
    <s v="Current"/>
    <s v="Current"/>
    <x v="24"/>
    <x v="3"/>
    <s v=" Young Adults"/>
    <x v="2"/>
    <s v="College"/>
    <x v="0"/>
    <s v="Male"/>
  </r>
  <r>
    <x v="152"/>
    <x v="0"/>
    <n v="500"/>
    <n v="15"/>
    <x v="4"/>
    <s v="9/26/2016"/>
    <s v="9/13/2016 20:17"/>
    <m/>
    <s v="Current"/>
    <s v="Current"/>
    <x v="24"/>
    <x v="3"/>
    <s v=" Young Adults"/>
    <x v="2"/>
    <s v="College"/>
    <x v="1"/>
    <s v="Female"/>
  </r>
  <r>
    <x v="153"/>
    <x v="0"/>
    <n v="1000"/>
    <n v="15"/>
    <x v="4"/>
    <s v="9/26/2016"/>
    <s v="9/26/2016 9:00"/>
    <m/>
    <s v="Current"/>
    <s v="Current"/>
    <x v="19"/>
    <x v="2"/>
    <s v="Middle Aged"/>
    <x v="2"/>
    <s v="College"/>
    <x v="0"/>
    <s v="Male"/>
  </r>
  <r>
    <x v="154"/>
    <x v="0"/>
    <n v="1000"/>
    <n v="30"/>
    <x v="4"/>
    <d v="2016-11-10T00:00:00"/>
    <d v="2016-10-10T07:01:00"/>
    <m/>
    <s v="Current"/>
    <s v="Current"/>
    <x v="14"/>
    <x v="0"/>
    <s v="Mature"/>
    <x v="2"/>
    <s v="College"/>
    <x v="0"/>
    <s v="Male"/>
  </r>
  <r>
    <x v="155"/>
    <x v="0"/>
    <n v="1000"/>
    <n v="30"/>
    <x v="4"/>
    <d v="2016-11-10T00:00:00"/>
    <d v="2016-11-10T13:00:00"/>
    <m/>
    <s v="Current"/>
    <s v="Current"/>
    <x v="7"/>
    <x v="0"/>
    <s v="Mature"/>
    <x v="0"/>
    <s v="High School Or Below"/>
    <x v="1"/>
    <s v="Female"/>
  </r>
  <r>
    <x v="156"/>
    <x v="0"/>
    <n v="1000"/>
    <n v="15"/>
    <x v="4"/>
    <s v="9/26/2016"/>
    <s v="9/26/2016 9:00"/>
    <m/>
    <s v="Current"/>
    <s v="Current"/>
    <x v="8"/>
    <x v="2"/>
    <s v="Middle Aged"/>
    <x v="1"/>
    <s v="Bachelor"/>
    <x v="0"/>
    <s v="Male"/>
  </r>
  <r>
    <x v="157"/>
    <x v="0"/>
    <n v="800"/>
    <n v="15"/>
    <x v="4"/>
    <s v="9/26/2016"/>
    <s v="9/24/2016 14:55"/>
    <m/>
    <s v="Current"/>
    <s v="Current"/>
    <x v="6"/>
    <x v="2"/>
    <s v="Middle Aged"/>
    <x v="0"/>
    <s v="High School Or Below"/>
    <x v="0"/>
    <s v="Male"/>
  </r>
  <r>
    <x v="158"/>
    <x v="0"/>
    <n v="1000"/>
    <n v="15"/>
    <x v="4"/>
    <s v="9/26/2016"/>
    <s v="9/26/2016 9:00"/>
    <m/>
    <s v="Current"/>
    <s v="Current"/>
    <x v="4"/>
    <x v="2"/>
    <s v="Middle Aged"/>
    <x v="2"/>
    <s v="College"/>
    <x v="1"/>
    <s v="Female"/>
  </r>
  <r>
    <x v="159"/>
    <x v="0"/>
    <n v="1000"/>
    <n v="30"/>
    <x v="4"/>
    <d v="2016-11-10T00:00:00"/>
    <s v="9/25/2016 20:56"/>
    <m/>
    <s v="Current"/>
    <s v="Current"/>
    <x v="3"/>
    <x v="2"/>
    <s v="Middle Aged"/>
    <x v="0"/>
    <s v="High School Or Below"/>
    <x v="0"/>
    <s v="Male"/>
  </r>
  <r>
    <x v="160"/>
    <x v="0"/>
    <n v="1000"/>
    <n v="15"/>
    <x v="4"/>
    <s v="9/26/2016"/>
    <s v="9/22/2016 10:49"/>
    <m/>
    <s v="Current"/>
    <s v="Current"/>
    <x v="17"/>
    <x v="3"/>
    <s v=" Young Adults"/>
    <x v="0"/>
    <s v="High School Or Below"/>
    <x v="0"/>
    <s v="Male"/>
  </r>
  <r>
    <x v="161"/>
    <x v="0"/>
    <n v="800"/>
    <n v="15"/>
    <x v="4"/>
    <s v="9/26/2016"/>
    <s v="9/25/2016 22:09"/>
    <m/>
    <s v="Current"/>
    <s v="Current"/>
    <x v="15"/>
    <x v="2"/>
    <s v="Middle Aged"/>
    <x v="1"/>
    <s v="Bachelor"/>
    <x v="0"/>
    <s v="Male"/>
  </r>
  <r>
    <x v="162"/>
    <x v="0"/>
    <n v="1000"/>
    <n v="30"/>
    <x v="4"/>
    <d v="2016-11-10T00:00:00"/>
    <d v="2016-11-10T09:00:00"/>
    <m/>
    <s v="Current"/>
    <s v="Current"/>
    <x v="4"/>
    <x v="2"/>
    <s v="Middle Aged"/>
    <x v="0"/>
    <s v="High School Or Below"/>
    <x v="0"/>
    <s v="Male"/>
  </r>
  <r>
    <x v="163"/>
    <x v="0"/>
    <n v="1000"/>
    <n v="15"/>
    <x v="4"/>
    <s v="9/26/2016"/>
    <s v="9/26/2016 9:00"/>
    <m/>
    <s v="Current"/>
    <s v="Current"/>
    <x v="3"/>
    <x v="2"/>
    <s v="Middle Aged"/>
    <x v="2"/>
    <s v="College"/>
    <x v="1"/>
    <s v="Female"/>
  </r>
  <r>
    <x v="164"/>
    <x v="0"/>
    <n v="1000"/>
    <n v="15"/>
    <x v="4"/>
    <s v="9/26/2016"/>
    <s v="9/26/2016 19:33"/>
    <m/>
    <s v="Current"/>
    <s v="Current"/>
    <x v="13"/>
    <x v="3"/>
    <s v=" Young Adults"/>
    <x v="0"/>
    <s v="High School Or Below"/>
    <x v="0"/>
    <s v="Male"/>
  </r>
  <r>
    <x v="165"/>
    <x v="0"/>
    <n v="1000"/>
    <n v="30"/>
    <x v="4"/>
    <d v="2016-10-11T00:00:00"/>
    <d v="2016-10-11T16:00:00"/>
    <m/>
    <s v="Current"/>
    <s v="Current"/>
    <x v="17"/>
    <x v="3"/>
    <s v=" Young Adults"/>
    <x v="0"/>
    <s v="High School Or Below"/>
    <x v="0"/>
    <s v="Male"/>
  </r>
  <r>
    <x v="166"/>
    <x v="0"/>
    <n v="1000"/>
    <n v="30"/>
    <x v="4"/>
    <d v="2016-11-10T00:00:00"/>
    <d v="2016-11-10T16:00:00"/>
    <m/>
    <s v="Current"/>
    <s v="Current"/>
    <x v="4"/>
    <x v="2"/>
    <s v="Middle Aged"/>
    <x v="2"/>
    <s v="College"/>
    <x v="0"/>
    <s v="Male"/>
  </r>
  <r>
    <x v="167"/>
    <x v="0"/>
    <n v="800"/>
    <n v="30"/>
    <x v="4"/>
    <d v="2016-11-10T00:00:00"/>
    <d v="2016-11-10T16:00:00"/>
    <m/>
    <s v="Current"/>
    <s v="Current"/>
    <x v="4"/>
    <x v="2"/>
    <s v="Middle Aged"/>
    <x v="2"/>
    <s v="College"/>
    <x v="0"/>
    <s v="Male"/>
  </r>
  <r>
    <x v="168"/>
    <x v="0"/>
    <n v="1000"/>
    <n v="15"/>
    <x v="4"/>
    <s v="9/26/2016"/>
    <s v="9/26/2016 13:00"/>
    <m/>
    <s v="Current"/>
    <s v="Current"/>
    <x v="5"/>
    <x v="0"/>
    <s v="Mature"/>
    <x v="0"/>
    <s v="High School Or Below"/>
    <x v="0"/>
    <s v="Male"/>
  </r>
  <r>
    <x v="169"/>
    <x v="0"/>
    <n v="1000"/>
    <n v="30"/>
    <x v="4"/>
    <d v="2016-11-10T00:00:00"/>
    <d v="2016-11-10T13:00:00"/>
    <m/>
    <s v="Current"/>
    <s v="Current"/>
    <x v="23"/>
    <x v="0"/>
    <s v="Mature"/>
    <x v="2"/>
    <s v="College"/>
    <x v="0"/>
    <s v="Male"/>
  </r>
  <r>
    <x v="170"/>
    <x v="0"/>
    <n v="1000"/>
    <n v="15"/>
    <x v="4"/>
    <s v="9/26/2016"/>
    <s v="9/26/2016 16:00"/>
    <m/>
    <s v="Current"/>
    <s v="Current"/>
    <x v="23"/>
    <x v="0"/>
    <s v="Mature"/>
    <x v="0"/>
    <s v="High School Or Below"/>
    <x v="0"/>
    <s v="Male"/>
  </r>
  <r>
    <x v="171"/>
    <x v="0"/>
    <n v="1000"/>
    <n v="30"/>
    <x v="4"/>
    <d v="2016-11-10T00:00:00"/>
    <d v="2016-11-10T16:00:00"/>
    <m/>
    <s v="Current"/>
    <s v="Current"/>
    <x v="6"/>
    <x v="2"/>
    <s v="Middle Aged"/>
    <x v="2"/>
    <s v="College"/>
    <x v="0"/>
    <s v="Male"/>
  </r>
  <r>
    <x v="172"/>
    <x v="0"/>
    <n v="800"/>
    <n v="15"/>
    <x v="4"/>
    <s v="9/26/2016"/>
    <s v="9/26/2016 13:00"/>
    <m/>
    <s v="Current"/>
    <s v="Current"/>
    <x v="5"/>
    <x v="0"/>
    <s v="Mature"/>
    <x v="0"/>
    <s v="High School Or Below"/>
    <x v="0"/>
    <s v="Male"/>
  </r>
  <r>
    <x v="173"/>
    <x v="0"/>
    <n v="1000"/>
    <n v="30"/>
    <x v="4"/>
    <d v="2016-11-10T00:00:00"/>
    <s v="9/17/2016 7:39"/>
    <m/>
    <s v="Current"/>
    <s v="Current"/>
    <x v="17"/>
    <x v="3"/>
    <s v=" Young Adults"/>
    <x v="2"/>
    <s v="College"/>
    <x v="0"/>
    <s v="Male"/>
  </r>
  <r>
    <x v="174"/>
    <x v="0"/>
    <n v="800"/>
    <n v="15"/>
    <x v="4"/>
    <s v="9/26/2016"/>
    <s v="9/22/2016 10:30"/>
    <m/>
    <s v="Current"/>
    <s v="Current"/>
    <x v="9"/>
    <x v="0"/>
    <s v="Mature"/>
    <x v="0"/>
    <s v="High School Or Below"/>
    <x v="0"/>
    <s v="Male"/>
  </r>
  <r>
    <x v="175"/>
    <x v="0"/>
    <n v="800"/>
    <n v="15"/>
    <x v="4"/>
    <s v="9/26/2016"/>
    <s v="9/26/2016 13:00"/>
    <m/>
    <s v="Current"/>
    <s v="Current"/>
    <x v="13"/>
    <x v="3"/>
    <s v=" Young Adults"/>
    <x v="2"/>
    <s v="College"/>
    <x v="0"/>
    <s v="Male"/>
  </r>
  <r>
    <x v="176"/>
    <x v="0"/>
    <n v="1000"/>
    <n v="30"/>
    <x v="4"/>
    <d v="2016-11-10T00:00:00"/>
    <d v="2016-11-10T16:00:00"/>
    <m/>
    <s v="Current"/>
    <s v="Current"/>
    <x v="23"/>
    <x v="0"/>
    <s v="Mature"/>
    <x v="0"/>
    <s v="High School Or Below"/>
    <x v="0"/>
    <s v="Male"/>
  </r>
  <r>
    <x v="177"/>
    <x v="0"/>
    <n v="1000"/>
    <n v="30"/>
    <x v="4"/>
    <d v="2016-11-10T00:00:00"/>
    <d v="2016-10-10T20:41:00"/>
    <m/>
    <s v="Current"/>
    <s v="Current"/>
    <x v="19"/>
    <x v="2"/>
    <s v="Middle Aged"/>
    <x v="2"/>
    <s v="College"/>
    <x v="0"/>
    <s v="Male"/>
  </r>
  <r>
    <x v="178"/>
    <x v="0"/>
    <n v="1000"/>
    <n v="30"/>
    <x v="4"/>
    <d v="2016-11-10T00:00:00"/>
    <d v="2016-11-10T09:00:00"/>
    <m/>
    <s v="Current"/>
    <s v="Current"/>
    <x v="18"/>
    <x v="3"/>
    <s v=" Young Adults"/>
    <x v="0"/>
    <s v="High School Or Below"/>
    <x v="0"/>
    <s v="Male"/>
  </r>
  <r>
    <x v="179"/>
    <x v="0"/>
    <n v="1000"/>
    <n v="30"/>
    <x v="4"/>
    <d v="2016-11-10T00:00:00"/>
    <d v="2016-10-10T08:04:00"/>
    <m/>
    <s v="Current"/>
    <s v="Current"/>
    <x v="22"/>
    <x v="0"/>
    <s v="Mature"/>
    <x v="2"/>
    <s v="College"/>
    <x v="0"/>
    <s v="Male"/>
  </r>
  <r>
    <x v="180"/>
    <x v="0"/>
    <n v="1000"/>
    <n v="15"/>
    <x v="4"/>
    <s v="9/26/2016"/>
    <s v="9/24/2016 11:00"/>
    <m/>
    <s v="Current"/>
    <s v="Current"/>
    <x v="15"/>
    <x v="2"/>
    <s v="Middle Aged"/>
    <x v="0"/>
    <s v="High School Or Below"/>
    <x v="1"/>
    <s v="Female"/>
  </r>
  <r>
    <x v="181"/>
    <x v="0"/>
    <n v="300"/>
    <n v="7"/>
    <x v="4"/>
    <s v="9/18/2016"/>
    <s v="9/17/2016 9:25"/>
    <m/>
    <s v="Current"/>
    <s v="Current"/>
    <x v="6"/>
    <x v="2"/>
    <s v="Middle Aged"/>
    <x v="0"/>
    <s v="High School Or Below"/>
    <x v="0"/>
    <s v="Male"/>
  </r>
  <r>
    <x v="182"/>
    <x v="0"/>
    <n v="1000"/>
    <n v="30"/>
    <x v="4"/>
    <d v="2016-11-10T00:00:00"/>
    <d v="2016-07-10T11:53:00"/>
    <m/>
    <s v="Current"/>
    <s v="Current"/>
    <x v="5"/>
    <x v="0"/>
    <s v="Mature"/>
    <x v="0"/>
    <s v="High School Or Below"/>
    <x v="0"/>
    <s v="Male"/>
  </r>
  <r>
    <x v="183"/>
    <x v="0"/>
    <n v="800"/>
    <n v="15"/>
    <x v="4"/>
    <s v="9/26/2016"/>
    <s v="9/25/2016 8:39"/>
    <m/>
    <s v="Current"/>
    <s v="Current"/>
    <x v="19"/>
    <x v="2"/>
    <s v="Middle Aged"/>
    <x v="0"/>
    <s v="High School Or Below"/>
    <x v="0"/>
    <s v="Male"/>
  </r>
  <r>
    <x v="184"/>
    <x v="0"/>
    <n v="1000"/>
    <n v="30"/>
    <x v="4"/>
    <d v="2016-11-10T00:00:00"/>
    <d v="2016-11-10T09:00:00"/>
    <m/>
    <s v="Current"/>
    <s v="Current"/>
    <x v="3"/>
    <x v="2"/>
    <s v="Middle Aged"/>
    <x v="0"/>
    <s v="High School Or Below"/>
    <x v="0"/>
    <s v="Male"/>
  </r>
  <r>
    <x v="185"/>
    <x v="0"/>
    <n v="1000"/>
    <n v="30"/>
    <x v="4"/>
    <d v="2016-11-10T00:00:00"/>
    <d v="2016-10-10T20:28:00"/>
    <m/>
    <s v="Current"/>
    <s v="Current"/>
    <x v="15"/>
    <x v="2"/>
    <s v="Middle Aged"/>
    <x v="0"/>
    <s v="High School Or Below"/>
    <x v="1"/>
    <s v="Female"/>
  </r>
  <r>
    <x v="186"/>
    <x v="0"/>
    <n v="1000"/>
    <n v="30"/>
    <x v="4"/>
    <d v="2016-11-10T00:00:00"/>
    <d v="2016-01-10T10:18:00"/>
    <m/>
    <s v="Current"/>
    <s v="Current"/>
    <x v="2"/>
    <x v="2"/>
    <s v="Middle Aged"/>
    <x v="1"/>
    <s v="Bachelor"/>
    <x v="0"/>
    <s v="Male"/>
  </r>
  <r>
    <x v="187"/>
    <x v="0"/>
    <n v="1000"/>
    <n v="15"/>
    <x v="4"/>
    <s v="9/26/2016"/>
    <s v="9/26/2016 16:00"/>
    <m/>
    <s v="Current"/>
    <s v="Current"/>
    <x v="14"/>
    <x v="0"/>
    <s v="Mature"/>
    <x v="0"/>
    <s v="High School Or Below"/>
    <x v="0"/>
    <s v="Male"/>
  </r>
  <r>
    <x v="188"/>
    <x v="0"/>
    <n v="800"/>
    <n v="15"/>
    <x v="4"/>
    <s v="9/26/2016"/>
    <s v="9/19/2016 21:07"/>
    <m/>
    <s v="Current"/>
    <s v="Current"/>
    <x v="4"/>
    <x v="2"/>
    <s v="Middle Aged"/>
    <x v="2"/>
    <s v="College"/>
    <x v="0"/>
    <s v="Male"/>
  </r>
  <r>
    <x v="189"/>
    <x v="0"/>
    <n v="800"/>
    <n v="15"/>
    <x v="4"/>
    <s v="9/26/2016"/>
    <s v="9/26/2016 9:00"/>
    <m/>
    <s v="Current"/>
    <s v="Current"/>
    <x v="27"/>
    <x v="0"/>
    <s v="Mature"/>
    <x v="2"/>
    <s v="College"/>
    <x v="0"/>
    <s v="Male"/>
  </r>
  <r>
    <x v="190"/>
    <x v="0"/>
    <n v="1000"/>
    <n v="30"/>
    <x v="4"/>
    <d v="2016-11-10T00:00:00"/>
    <s v="9/30/2016 14:38"/>
    <m/>
    <s v="Current"/>
    <s v="Current"/>
    <x v="11"/>
    <x v="2"/>
    <s v="Middle Aged"/>
    <x v="2"/>
    <s v="College"/>
    <x v="0"/>
    <s v="Male"/>
  </r>
  <r>
    <x v="191"/>
    <x v="0"/>
    <n v="1000"/>
    <n v="30"/>
    <x v="4"/>
    <d v="2016-11-10T00:00:00"/>
    <d v="2016-11-10T13:00:00"/>
    <m/>
    <s v="Current"/>
    <s v="Current"/>
    <x v="19"/>
    <x v="2"/>
    <s v="Middle Aged"/>
    <x v="0"/>
    <s v="High School Or Below"/>
    <x v="0"/>
    <s v="Male"/>
  </r>
  <r>
    <x v="192"/>
    <x v="0"/>
    <n v="1000"/>
    <n v="15"/>
    <x v="4"/>
    <s v="9/26/2016"/>
    <s v="9/14/2016 20:31"/>
    <m/>
    <s v="Current"/>
    <s v="Current"/>
    <x v="13"/>
    <x v="3"/>
    <s v=" Young Adults"/>
    <x v="0"/>
    <s v="High School Or Below"/>
    <x v="1"/>
    <s v="Female"/>
  </r>
  <r>
    <x v="193"/>
    <x v="0"/>
    <n v="1000"/>
    <n v="30"/>
    <x v="4"/>
    <d v="2016-11-10T00:00:00"/>
    <d v="2016-11-10T09:00:00"/>
    <m/>
    <s v="Current"/>
    <s v="Current"/>
    <x v="3"/>
    <x v="2"/>
    <s v="Middle Aged"/>
    <x v="0"/>
    <s v="High School Or Below"/>
    <x v="1"/>
    <s v="Female"/>
  </r>
  <r>
    <x v="194"/>
    <x v="0"/>
    <n v="800"/>
    <n v="15"/>
    <x v="4"/>
    <s v="9/26/2016"/>
    <s v="9/24/2016 16:15"/>
    <m/>
    <s v="Current"/>
    <s v="Current"/>
    <x v="18"/>
    <x v="3"/>
    <s v=" Young Adults"/>
    <x v="2"/>
    <s v="College"/>
    <x v="0"/>
    <s v="Male"/>
  </r>
  <r>
    <x v="195"/>
    <x v="0"/>
    <n v="1000"/>
    <n v="30"/>
    <x v="4"/>
    <d v="2016-11-10T00:00:00"/>
    <d v="2016-10-10T15:49:00"/>
    <m/>
    <s v="Current"/>
    <s v="Current"/>
    <x v="17"/>
    <x v="3"/>
    <s v=" Young Adults"/>
    <x v="2"/>
    <s v="College"/>
    <x v="0"/>
    <s v="Male"/>
  </r>
  <r>
    <x v="196"/>
    <x v="0"/>
    <n v="1000"/>
    <n v="30"/>
    <x v="4"/>
    <d v="2016-10-11T00:00:00"/>
    <d v="2016-10-11T13:00:00"/>
    <m/>
    <s v="Current"/>
    <s v="Current"/>
    <x v="6"/>
    <x v="2"/>
    <s v="Middle Aged"/>
    <x v="2"/>
    <s v="College"/>
    <x v="0"/>
    <s v="Male"/>
  </r>
  <r>
    <x v="197"/>
    <x v="0"/>
    <n v="1000"/>
    <n v="15"/>
    <x v="4"/>
    <s v="9/26/2016"/>
    <s v="9/23/2016 10:32"/>
    <m/>
    <s v="Current"/>
    <s v="Current"/>
    <x v="10"/>
    <x v="0"/>
    <s v="Mature"/>
    <x v="2"/>
    <s v="College"/>
    <x v="0"/>
    <s v="Male"/>
  </r>
  <r>
    <x v="198"/>
    <x v="0"/>
    <n v="1000"/>
    <n v="30"/>
    <x v="4"/>
    <d v="2016-11-10T00:00:00"/>
    <s v="9/30/2016 14:03"/>
    <m/>
    <s v="Current"/>
    <s v="Current"/>
    <x v="6"/>
    <x v="2"/>
    <s v="Middle Aged"/>
    <x v="0"/>
    <s v="High School Or Below"/>
    <x v="0"/>
    <s v="Male"/>
  </r>
  <r>
    <x v="199"/>
    <x v="0"/>
    <n v="1000"/>
    <n v="30"/>
    <x v="4"/>
    <d v="2016-11-10T00:00:00"/>
    <d v="2016-09-10T14:17:00"/>
    <m/>
    <s v="Current"/>
    <s v="Current"/>
    <x v="6"/>
    <x v="2"/>
    <s v="Middle Aged"/>
    <x v="2"/>
    <s v="College"/>
    <x v="0"/>
    <s v="Male"/>
  </r>
  <r>
    <x v="200"/>
    <x v="0"/>
    <n v="1000"/>
    <n v="15"/>
    <x v="4"/>
    <s v="9/26/2016"/>
    <s v="9/20/2016 8:26"/>
    <m/>
    <s v="Current"/>
    <s v="Current"/>
    <x v="19"/>
    <x v="2"/>
    <s v="Middle Aged"/>
    <x v="2"/>
    <s v="College"/>
    <x v="0"/>
    <s v="Male"/>
  </r>
  <r>
    <x v="201"/>
    <x v="0"/>
    <n v="1000"/>
    <n v="30"/>
    <x v="4"/>
    <d v="2016-11-10T00:00:00"/>
    <d v="2016-11-10T23:00:00"/>
    <m/>
    <s v="Current"/>
    <s v="Current"/>
    <x v="8"/>
    <x v="2"/>
    <s v="Middle Aged"/>
    <x v="0"/>
    <s v="High School Or Below"/>
    <x v="1"/>
    <s v="Female"/>
  </r>
  <r>
    <x v="202"/>
    <x v="0"/>
    <n v="1000"/>
    <n v="15"/>
    <x v="4"/>
    <s v="9/26/2016"/>
    <s v="9/24/2016 20:47"/>
    <m/>
    <s v="Current"/>
    <s v="Current"/>
    <x v="7"/>
    <x v="0"/>
    <s v="Mature"/>
    <x v="0"/>
    <s v="High School Or Below"/>
    <x v="0"/>
    <s v="Male"/>
  </r>
  <r>
    <x v="203"/>
    <x v="0"/>
    <n v="800"/>
    <n v="15"/>
    <x v="4"/>
    <s v="9/26/2016"/>
    <s v="9/26/2016 16:00"/>
    <m/>
    <s v="Current"/>
    <s v="Current"/>
    <x v="3"/>
    <x v="2"/>
    <s v="Middle Aged"/>
    <x v="2"/>
    <s v="College"/>
    <x v="0"/>
    <s v="Male"/>
  </r>
  <r>
    <x v="204"/>
    <x v="0"/>
    <n v="1000"/>
    <n v="30"/>
    <x v="4"/>
    <d v="2016-11-10T00:00:00"/>
    <d v="2016-11-10T09:01:00"/>
    <m/>
    <s v="Current"/>
    <s v="Current"/>
    <x v="25"/>
    <x v="3"/>
    <s v=" Young Adults"/>
    <x v="2"/>
    <s v="College"/>
    <x v="0"/>
    <s v="Male"/>
  </r>
  <r>
    <x v="205"/>
    <x v="0"/>
    <n v="1000"/>
    <n v="7"/>
    <x v="4"/>
    <s v="9/18/2016"/>
    <s v="9/16/2016 14:52"/>
    <m/>
    <s v="Current"/>
    <s v="Current"/>
    <x v="8"/>
    <x v="2"/>
    <s v="Middle Aged"/>
    <x v="1"/>
    <s v="Bachelor"/>
    <x v="1"/>
    <s v="Female"/>
  </r>
  <r>
    <x v="206"/>
    <x v="0"/>
    <n v="1000"/>
    <n v="30"/>
    <x v="4"/>
    <d v="2016-10-11T00:00:00"/>
    <d v="2016-10-11T13:00:00"/>
    <m/>
    <s v="Current"/>
    <s v="Current"/>
    <x v="8"/>
    <x v="2"/>
    <s v="Middle Aged"/>
    <x v="2"/>
    <s v="College"/>
    <x v="0"/>
    <s v="Male"/>
  </r>
  <r>
    <x v="207"/>
    <x v="0"/>
    <n v="1000"/>
    <n v="30"/>
    <x v="4"/>
    <d v="2016-11-10T00:00:00"/>
    <d v="2016-09-10T10:00:00"/>
    <m/>
    <s v="Current"/>
    <s v="Current"/>
    <x v="3"/>
    <x v="2"/>
    <s v="Middle Aged"/>
    <x v="2"/>
    <s v="College"/>
    <x v="0"/>
    <s v="Male"/>
  </r>
  <r>
    <x v="208"/>
    <x v="0"/>
    <n v="300"/>
    <n v="7"/>
    <x v="4"/>
    <s v="9/18/2016"/>
    <d v="2016-12-09T14:40:00"/>
    <m/>
    <s v="Current"/>
    <s v="Current"/>
    <x v="24"/>
    <x v="3"/>
    <s v=" Young Adults"/>
    <x v="0"/>
    <s v="High School Or Below"/>
    <x v="0"/>
    <s v="Male"/>
  </r>
  <r>
    <x v="209"/>
    <x v="0"/>
    <n v="1000"/>
    <n v="30"/>
    <x v="4"/>
    <d v="2016-11-10T00:00:00"/>
    <d v="2016-11-10T16:00:00"/>
    <m/>
    <s v="Current"/>
    <s v="Current"/>
    <x v="9"/>
    <x v="0"/>
    <s v="Mature"/>
    <x v="0"/>
    <s v="High School Or Below"/>
    <x v="0"/>
    <s v="Male"/>
  </r>
  <r>
    <x v="210"/>
    <x v="0"/>
    <n v="1000"/>
    <n v="15"/>
    <x v="4"/>
    <s v="9/26/2016"/>
    <s v="9/23/2016 21:58"/>
    <m/>
    <s v="Current"/>
    <s v="Current"/>
    <x v="3"/>
    <x v="2"/>
    <s v="Middle Aged"/>
    <x v="0"/>
    <s v="High School Or Below"/>
    <x v="0"/>
    <s v="Male"/>
  </r>
  <r>
    <x v="211"/>
    <x v="0"/>
    <n v="1000"/>
    <n v="30"/>
    <x v="4"/>
    <d v="2016-11-10T00:00:00"/>
    <d v="2016-08-10T18:48:00"/>
    <m/>
    <s v="Current"/>
    <s v="Current"/>
    <x v="19"/>
    <x v="2"/>
    <s v="Middle Aged"/>
    <x v="0"/>
    <s v="High School Or Below"/>
    <x v="0"/>
    <s v="Male"/>
  </r>
  <r>
    <x v="212"/>
    <x v="0"/>
    <n v="1000"/>
    <n v="30"/>
    <x v="4"/>
    <d v="2016-11-10T00:00:00"/>
    <d v="2016-10-10T16:41:00"/>
    <m/>
    <s v="Current"/>
    <s v="Current"/>
    <x v="2"/>
    <x v="2"/>
    <s v="Middle Aged"/>
    <x v="0"/>
    <s v="High School Or Below"/>
    <x v="1"/>
    <s v="Female"/>
  </r>
  <r>
    <x v="213"/>
    <x v="0"/>
    <n v="1000"/>
    <n v="30"/>
    <x v="4"/>
    <d v="2016-11-10T00:00:00"/>
    <d v="2016-11-10T13:01:00"/>
    <m/>
    <s v="Current"/>
    <s v="Current"/>
    <x v="3"/>
    <x v="2"/>
    <s v="Middle Aged"/>
    <x v="0"/>
    <s v="High School Or Below"/>
    <x v="0"/>
    <s v="Male"/>
  </r>
  <r>
    <x v="214"/>
    <x v="0"/>
    <n v="1000"/>
    <n v="30"/>
    <x v="4"/>
    <d v="2016-11-10T00:00:00"/>
    <s v="9/16/2016 2:34"/>
    <m/>
    <s v="Current"/>
    <s v="Current"/>
    <x v="5"/>
    <x v="0"/>
    <s v="Mature"/>
    <x v="0"/>
    <s v="High School Or Below"/>
    <x v="0"/>
    <s v="Male"/>
  </r>
  <r>
    <x v="215"/>
    <x v="0"/>
    <n v="1000"/>
    <n v="30"/>
    <x v="4"/>
    <d v="2016-10-11T00:00:00"/>
    <d v="2016-10-11T16:00:00"/>
    <m/>
    <s v="Current"/>
    <s v="Current"/>
    <x v="6"/>
    <x v="2"/>
    <s v="Middle Aged"/>
    <x v="2"/>
    <s v="College"/>
    <x v="1"/>
    <s v="Female"/>
  </r>
  <r>
    <x v="216"/>
    <x v="0"/>
    <n v="1000"/>
    <n v="15"/>
    <x v="4"/>
    <s v="9/26/2016"/>
    <s v="9/21/2016 8:11"/>
    <m/>
    <s v="Current"/>
    <s v="Current"/>
    <x v="1"/>
    <x v="1"/>
    <s v="Old"/>
    <x v="0"/>
    <s v="High School Or Below"/>
    <x v="0"/>
    <s v="Male"/>
  </r>
  <r>
    <x v="217"/>
    <x v="0"/>
    <n v="800"/>
    <n v="15"/>
    <x v="4"/>
    <s v="9/26/2016"/>
    <s v="9/26/2016 9:00"/>
    <m/>
    <s v="Current"/>
    <s v="Current"/>
    <x v="15"/>
    <x v="2"/>
    <s v="Middle Aged"/>
    <x v="0"/>
    <s v="High School Or Below"/>
    <x v="1"/>
    <s v="Female"/>
  </r>
  <r>
    <x v="218"/>
    <x v="0"/>
    <n v="1000"/>
    <n v="15"/>
    <x v="4"/>
    <s v="9/26/2016"/>
    <s v="9/26/2016 13:00"/>
    <m/>
    <s v="Current"/>
    <s v="Current"/>
    <x v="15"/>
    <x v="2"/>
    <s v="Middle Aged"/>
    <x v="0"/>
    <s v="High School Or Below"/>
    <x v="0"/>
    <s v="Male"/>
  </r>
  <r>
    <x v="219"/>
    <x v="0"/>
    <n v="1000"/>
    <n v="30"/>
    <x v="4"/>
    <d v="2016-11-10T00:00:00"/>
    <d v="2016-11-10T13:01:00"/>
    <m/>
    <s v="Current"/>
    <s v="Current"/>
    <x v="6"/>
    <x v="2"/>
    <s v="Middle Aged"/>
    <x v="0"/>
    <s v="High School Or Below"/>
    <x v="0"/>
    <s v="Male"/>
  </r>
  <r>
    <x v="220"/>
    <x v="0"/>
    <n v="1000"/>
    <n v="15"/>
    <x v="4"/>
    <s v="9/26/2016"/>
    <s v="9/26/2016 23:00"/>
    <m/>
    <s v="Current"/>
    <s v="Current"/>
    <x v="5"/>
    <x v="0"/>
    <s v="Mature"/>
    <x v="2"/>
    <s v="College"/>
    <x v="0"/>
    <s v="Male"/>
  </r>
  <r>
    <x v="221"/>
    <x v="0"/>
    <n v="1000"/>
    <n v="30"/>
    <x v="4"/>
    <d v="2016-11-10T00:00:00"/>
    <d v="2016-11-10T09:01:00"/>
    <m/>
    <s v="Current"/>
    <s v="Current"/>
    <x v="9"/>
    <x v="0"/>
    <s v="Mature"/>
    <x v="2"/>
    <s v="College"/>
    <x v="0"/>
    <s v="Male"/>
  </r>
  <r>
    <x v="222"/>
    <x v="0"/>
    <n v="1000"/>
    <n v="30"/>
    <x v="4"/>
    <d v="2016-10-11T00:00:00"/>
    <d v="2016-10-11T13:00:00"/>
    <m/>
    <s v="Current"/>
    <s v="Current"/>
    <x v="6"/>
    <x v="2"/>
    <s v="Middle Aged"/>
    <x v="2"/>
    <s v="College"/>
    <x v="0"/>
    <s v="Male"/>
  </r>
  <r>
    <x v="223"/>
    <x v="0"/>
    <n v="1000"/>
    <n v="15"/>
    <x v="4"/>
    <s v="9/26/2016"/>
    <s v="9/26/2016 23:00"/>
    <m/>
    <s v="Current"/>
    <s v="Current"/>
    <x v="19"/>
    <x v="2"/>
    <s v="Middle Aged"/>
    <x v="0"/>
    <s v="High School Or Below"/>
    <x v="0"/>
    <s v="Male"/>
  </r>
  <r>
    <x v="224"/>
    <x v="0"/>
    <n v="1000"/>
    <n v="30"/>
    <x v="4"/>
    <d v="2016-11-10T00:00:00"/>
    <d v="2016-09-10T10:00:00"/>
    <m/>
    <s v="Current"/>
    <s v="Current"/>
    <x v="2"/>
    <x v="2"/>
    <s v="Middle Aged"/>
    <x v="1"/>
    <s v="Bachelor"/>
    <x v="0"/>
    <s v="Male"/>
  </r>
  <r>
    <x v="225"/>
    <x v="0"/>
    <n v="1000"/>
    <n v="30"/>
    <x v="4"/>
    <d v="2016-11-10T00:00:00"/>
    <d v="2016-11-10T13:01:00"/>
    <m/>
    <s v="Current"/>
    <s v="Current"/>
    <x v="8"/>
    <x v="2"/>
    <s v="Middle Aged"/>
    <x v="0"/>
    <s v="High School Or Below"/>
    <x v="0"/>
    <s v="Male"/>
  </r>
  <r>
    <x v="226"/>
    <x v="0"/>
    <n v="1000"/>
    <n v="15"/>
    <x v="4"/>
    <s v="9/26/2016"/>
    <s v="9/23/2016 14:01"/>
    <m/>
    <s v="Current"/>
    <s v="Current"/>
    <x v="13"/>
    <x v="3"/>
    <s v=" Young Adults"/>
    <x v="0"/>
    <s v="High School Or Below"/>
    <x v="0"/>
    <s v="Male"/>
  </r>
  <r>
    <x v="227"/>
    <x v="0"/>
    <n v="800"/>
    <n v="15"/>
    <x v="4"/>
    <s v="9/26/2016"/>
    <s v="9/25/2016 13:29"/>
    <m/>
    <s v="Current"/>
    <s v="Current"/>
    <x v="16"/>
    <x v="0"/>
    <s v="Mature"/>
    <x v="1"/>
    <s v="Bachelor"/>
    <x v="0"/>
    <s v="Male"/>
  </r>
  <r>
    <x v="228"/>
    <x v="0"/>
    <n v="800"/>
    <n v="15"/>
    <x v="4"/>
    <s v="9/26/2016"/>
    <s v="9/25/2016 14:50"/>
    <m/>
    <s v="Current"/>
    <s v="Current"/>
    <x v="8"/>
    <x v="2"/>
    <s v="Middle Aged"/>
    <x v="0"/>
    <s v="High School Or Below"/>
    <x v="0"/>
    <s v="Male"/>
  </r>
  <r>
    <x v="229"/>
    <x v="0"/>
    <n v="800"/>
    <n v="15"/>
    <x v="4"/>
    <s v="9/26/2016"/>
    <s v="9/26/2016 9:00"/>
    <m/>
    <s v="Current"/>
    <s v="Current"/>
    <x v="8"/>
    <x v="2"/>
    <s v="Middle Aged"/>
    <x v="2"/>
    <s v="College"/>
    <x v="0"/>
    <s v="Male"/>
  </r>
  <r>
    <x v="230"/>
    <x v="0"/>
    <n v="1000"/>
    <n v="15"/>
    <x v="4"/>
    <s v="10/26/2016"/>
    <s v="10/26/2016 9:00"/>
    <m/>
    <s v="Current"/>
    <s v="Current"/>
    <x v="3"/>
    <x v="2"/>
    <s v="Middle Aged"/>
    <x v="2"/>
    <s v="College"/>
    <x v="0"/>
    <s v="Male"/>
  </r>
  <r>
    <x v="231"/>
    <x v="0"/>
    <n v="1000"/>
    <n v="7"/>
    <x v="4"/>
    <s v="9/25/2016"/>
    <s v="9/25/2016 9:01"/>
    <m/>
    <s v="Current"/>
    <s v="Current"/>
    <x v="14"/>
    <x v="0"/>
    <s v="Mature"/>
    <x v="2"/>
    <s v="College"/>
    <x v="1"/>
    <s v="Female"/>
  </r>
  <r>
    <x v="232"/>
    <x v="0"/>
    <n v="1000"/>
    <n v="30"/>
    <x v="4"/>
    <d v="2016-11-10T00:00:00"/>
    <d v="2016-08-10T15:35:00"/>
    <m/>
    <s v="Current"/>
    <s v="Current"/>
    <x v="16"/>
    <x v="0"/>
    <s v="Mature"/>
    <x v="2"/>
    <s v="College"/>
    <x v="0"/>
    <s v="Male"/>
  </r>
  <r>
    <x v="233"/>
    <x v="0"/>
    <n v="1000"/>
    <n v="30"/>
    <x v="4"/>
    <d v="2016-11-10T00:00:00"/>
    <d v="2016-11-10T16:01:00"/>
    <m/>
    <s v="Current"/>
    <s v="Current"/>
    <x v="7"/>
    <x v="0"/>
    <s v="Mature"/>
    <x v="0"/>
    <s v="High School Or Below"/>
    <x v="0"/>
    <s v="Male"/>
  </r>
  <r>
    <x v="234"/>
    <x v="0"/>
    <n v="800"/>
    <n v="15"/>
    <x v="4"/>
    <s v="9/26/2016"/>
    <s v="9/26/2016 19:35"/>
    <m/>
    <s v="Current"/>
    <s v="Current"/>
    <x v="2"/>
    <x v="2"/>
    <s v="Middle Aged"/>
    <x v="0"/>
    <s v="High School Or Below"/>
    <x v="0"/>
    <s v="Male"/>
  </r>
  <r>
    <x v="235"/>
    <x v="0"/>
    <n v="1000"/>
    <n v="30"/>
    <x v="4"/>
    <d v="2016-11-10T00:00:00"/>
    <d v="2016-09-10T21:28:00"/>
    <m/>
    <s v="Current"/>
    <s v="Current"/>
    <x v="19"/>
    <x v="2"/>
    <s v="Middle Aged"/>
    <x v="0"/>
    <s v="High School Or Below"/>
    <x v="0"/>
    <s v="Male"/>
  </r>
  <r>
    <x v="236"/>
    <x v="0"/>
    <n v="1000"/>
    <n v="30"/>
    <x v="4"/>
    <d v="2016-11-10T00:00:00"/>
    <d v="2016-07-10T16:45:00"/>
    <m/>
    <s v="Current"/>
    <s v="Current"/>
    <x v="19"/>
    <x v="2"/>
    <s v="Middle Aged"/>
    <x v="2"/>
    <s v="College"/>
    <x v="0"/>
    <s v="Male"/>
  </r>
  <r>
    <x v="237"/>
    <x v="0"/>
    <n v="800"/>
    <n v="15"/>
    <x v="4"/>
    <s v="9/26/2016"/>
    <s v="9/24/2016 12:13"/>
    <m/>
    <s v="Current"/>
    <s v="Current"/>
    <x v="7"/>
    <x v="0"/>
    <s v="Mature"/>
    <x v="0"/>
    <s v="High School Or Below"/>
    <x v="0"/>
    <s v="Male"/>
  </r>
  <r>
    <x v="238"/>
    <x v="0"/>
    <n v="1000"/>
    <n v="15"/>
    <x v="4"/>
    <d v="2016-11-10T00:00:00"/>
    <d v="2016-11-10T09:01:00"/>
    <m/>
    <s v="Current"/>
    <s v="Current"/>
    <x v="6"/>
    <x v="2"/>
    <s v="Middle Aged"/>
    <x v="2"/>
    <s v="College"/>
    <x v="0"/>
    <s v="Male"/>
  </r>
  <r>
    <x v="239"/>
    <x v="0"/>
    <n v="1000"/>
    <n v="15"/>
    <x v="4"/>
    <s v="9/26/2016"/>
    <s v="9/14/2016 23:02"/>
    <m/>
    <s v="Current"/>
    <s v="Current"/>
    <x v="7"/>
    <x v="0"/>
    <s v="Mature"/>
    <x v="0"/>
    <s v="High School Or Below"/>
    <x v="0"/>
    <s v="Male"/>
  </r>
  <r>
    <x v="240"/>
    <x v="0"/>
    <n v="1000"/>
    <n v="30"/>
    <x v="4"/>
    <d v="2016-11-10T00:00:00"/>
    <d v="2016-08-10T11:03:00"/>
    <m/>
    <s v="Current"/>
    <s v="Current"/>
    <x v="11"/>
    <x v="2"/>
    <s v="Middle Aged"/>
    <x v="0"/>
    <s v="High School Or Below"/>
    <x v="0"/>
    <s v="Male"/>
  </r>
  <r>
    <x v="241"/>
    <x v="0"/>
    <n v="1000"/>
    <n v="15"/>
    <x v="4"/>
    <s v="9/26/2016"/>
    <s v="9/26/2016 9:00"/>
    <m/>
    <s v="Current"/>
    <s v="Current"/>
    <x v="6"/>
    <x v="2"/>
    <s v="Middle Aged"/>
    <x v="0"/>
    <s v="High School Or Below"/>
    <x v="1"/>
    <s v="Female"/>
  </r>
  <r>
    <x v="242"/>
    <x v="0"/>
    <n v="800"/>
    <n v="15"/>
    <x v="4"/>
    <s v="9/26/2016"/>
    <s v="9/26/2016 23:00"/>
    <m/>
    <s v="Current"/>
    <s v="Current"/>
    <x v="7"/>
    <x v="0"/>
    <s v="Mature"/>
    <x v="1"/>
    <s v="Bachelor"/>
    <x v="0"/>
    <s v="Male"/>
  </r>
  <r>
    <x v="243"/>
    <x v="0"/>
    <n v="800"/>
    <n v="15"/>
    <x v="4"/>
    <s v="9/26/2016"/>
    <s v="9/25/2016 19:31"/>
    <m/>
    <s v="Current"/>
    <s v="Current"/>
    <x v="19"/>
    <x v="2"/>
    <s v="Middle Aged"/>
    <x v="0"/>
    <s v="High School Or Below"/>
    <x v="1"/>
    <s v="Female"/>
  </r>
  <r>
    <x v="244"/>
    <x v="0"/>
    <n v="1000"/>
    <n v="7"/>
    <x v="5"/>
    <s v="9/19/2016"/>
    <s v="9/14/2016 19:48"/>
    <m/>
    <s v="Current"/>
    <s v="Current"/>
    <x v="15"/>
    <x v="2"/>
    <s v="Middle Aged"/>
    <x v="2"/>
    <s v="College"/>
    <x v="0"/>
    <s v="Male"/>
  </r>
  <r>
    <x v="245"/>
    <x v="0"/>
    <n v="1000"/>
    <n v="30"/>
    <x v="5"/>
    <d v="2016-12-10T00:00:00"/>
    <d v="2016-12-10T23:00:00"/>
    <m/>
    <s v="Current"/>
    <s v="Current"/>
    <x v="28"/>
    <x v="3"/>
    <s v=" Young Adults"/>
    <x v="0"/>
    <s v="High School Or Below"/>
    <x v="1"/>
    <s v="Female"/>
  </r>
  <r>
    <x v="246"/>
    <x v="0"/>
    <n v="800"/>
    <n v="15"/>
    <x v="5"/>
    <s v="9/27/2016"/>
    <s v="9/25/2016 12:48"/>
    <m/>
    <s v="Current"/>
    <s v="Current"/>
    <x v="8"/>
    <x v="2"/>
    <s v="Middle Aged"/>
    <x v="2"/>
    <s v="College"/>
    <x v="0"/>
    <s v="Male"/>
  </r>
  <r>
    <x v="247"/>
    <x v="0"/>
    <n v="800"/>
    <n v="15"/>
    <x v="5"/>
    <s v="9/27/2016"/>
    <s v="9/26/2016 21:18"/>
    <m/>
    <s v="Current"/>
    <s v="Current"/>
    <x v="14"/>
    <x v="0"/>
    <s v="Mature"/>
    <x v="0"/>
    <s v="High School Or Below"/>
    <x v="0"/>
    <s v="Male"/>
  </r>
  <r>
    <x v="248"/>
    <x v="0"/>
    <n v="1000"/>
    <n v="30"/>
    <x v="5"/>
    <d v="2016-12-10T00:00:00"/>
    <d v="2016-07-10T10:22:00"/>
    <m/>
    <s v="Current"/>
    <s v="Current"/>
    <x v="5"/>
    <x v="0"/>
    <s v="Mature"/>
    <x v="0"/>
    <s v="High School Or Below"/>
    <x v="0"/>
    <s v="Male"/>
  </r>
  <r>
    <x v="249"/>
    <x v="0"/>
    <n v="1000"/>
    <n v="15"/>
    <x v="5"/>
    <s v="9/27/2016"/>
    <s v="9/26/2016 6:17"/>
    <m/>
    <s v="Current"/>
    <s v="Current"/>
    <x v="5"/>
    <x v="0"/>
    <s v="Mature"/>
    <x v="1"/>
    <s v="Bachelor"/>
    <x v="1"/>
    <s v="Female"/>
  </r>
  <r>
    <x v="250"/>
    <x v="0"/>
    <n v="800"/>
    <n v="15"/>
    <x v="5"/>
    <s v="9/27/2016"/>
    <s v="9/22/2016 16:57"/>
    <m/>
    <s v="Current"/>
    <s v="Current"/>
    <x v="23"/>
    <x v="0"/>
    <s v="Mature"/>
    <x v="2"/>
    <s v="College"/>
    <x v="0"/>
    <s v="Male"/>
  </r>
  <r>
    <x v="251"/>
    <x v="0"/>
    <n v="1000"/>
    <n v="30"/>
    <x v="5"/>
    <d v="2016-12-10T00:00:00"/>
    <d v="2016-09-10T21:57:00"/>
    <m/>
    <s v="Current"/>
    <s v="Current"/>
    <x v="6"/>
    <x v="2"/>
    <s v="Middle Aged"/>
    <x v="2"/>
    <s v="College"/>
    <x v="0"/>
    <s v="Male"/>
  </r>
  <r>
    <x v="252"/>
    <x v="0"/>
    <n v="1000"/>
    <n v="30"/>
    <x v="5"/>
    <d v="2016-12-10T00:00:00"/>
    <d v="2016-04-10T12:59:00"/>
    <m/>
    <s v="Current"/>
    <s v="Current"/>
    <x v="4"/>
    <x v="2"/>
    <s v="Middle Aged"/>
    <x v="0"/>
    <s v="High School Or Below"/>
    <x v="0"/>
    <s v="Male"/>
  </r>
  <r>
    <x v="253"/>
    <x v="0"/>
    <n v="500"/>
    <n v="7"/>
    <x v="5"/>
    <s v="9/19/2016"/>
    <s v="9/17/2016 20:51"/>
    <m/>
    <s v="Current"/>
    <s v="Current"/>
    <x v="20"/>
    <x v="3"/>
    <s v=" Young Adults"/>
    <x v="0"/>
    <s v="High School Or Below"/>
    <x v="0"/>
    <s v="Male"/>
  </r>
  <r>
    <x v="254"/>
    <x v="0"/>
    <n v="1000"/>
    <n v="30"/>
    <x v="5"/>
    <d v="2016-12-10T00:00:00"/>
    <d v="2016-12-10T23:00:00"/>
    <m/>
    <s v="Current"/>
    <s v="Current"/>
    <x v="11"/>
    <x v="2"/>
    <s v="Middle Aged"/>
    <x v="2"/>
    <s v="College"/>
    <x v="0"/>
    <s v="Male"/>
  </r>
  <r>
    <x v="255"/>
    <x v="0"/>
    <n v="1000"/>
    <n v="30"/>
    <x v="5"/>
    <d v="2016-12-10T00:00:00"/>
    <d v="2016-08-10T15:51:00"/>
    <m/>
    <s v="Current"/>
    <s v="Current"/>
    <x v="15"/>
    <x v="2"/>
    <s v="Middle Aged"/>
    <x v="2"/>
    <s v="College"/>
    <x v="0"/>
    <s v="Male"/>
  </r>
  <r>
    <x v="256"/>
    <x v="0"/>
    <n v="800"/>
    <n v="15"/>
    <x v="5"/>
    <s v="9/27/2016"/>
    <s v="9/27/2016 9:00"/>
    <m/>
    <s v="Current"/>
    <s v="Current"/>
    <x v="4"/>
    <x v="2"/>
    <s v="Middle Aged"/>
    <x v="2"/>
    <s v="College"/>
    <x v="0"/>
    <s v="Male"/>
  </r>
  <r>
    <x v="257"/>
    <x v="0"/>
    <n v="1000"/>
    <n v="15"/>
    <x v="5"/>
    <s v="9/27/2016"/>
    <s v="9/27/2016 9:00"/>
    <m/>
    <s v="Current"/>
    <s v="Current"/>
    <x v="16"/>
    <x v="0"/>
    <s v="Mature"/>
    <x v="2"/>
    <s v="College"/>
    <x v="1"/>
    <s v="Female"/>
  </r>
  <r>
    <x v="258"/>
    <x v="0"/>
    <n v="1000"/>
    <n v="7"/>
    <x v="5"/>
    <s v="9/19/2016"/>
    <s v="9/16/2016 15:57"/>
    <m/>
    <s v="Current"/>
    <s v="Current"/>
    <x v="13"/>
    <x v="3"/>
    <s v=" Young Adults"/>
    <x v="2"/>
    <s v="College"/>
    <x v="0"/>
    <s v="Male"/>
  </r>
  <r>
    <x v="259"/>
    <x v="0"/>
    <n v="1000"/>
    <n v="30"/>
    <x v="5"/>
    <d v="2016-12-10T00:00:00"/>
    <d v="2016-12-10T09:00:00"/>
    <m/>
    <s v="Current"/>
    <s v="Current"/>
    <x v="28"/>
    <x v="3"/>
    <s v=" Young Adults"/>
    <x v="0"/>
    <s v="High School Or Below"/>
    <x v="0"/>
    <s v="Male"/>
  </r>
  <r>
    <x v="260"/>
    <x v="0"/>
    <n v="800"/>
    <n v="15"/>
    <x v="5"/>
    <s v="9/27/2016"/>
    <s v="9/26/2016 7:48"/>
    <m/>
    <s v="Current"/>
    <s v="Current"/>
    <x v="29"/>
    <x v="1"/>
    <s v="Old"/>
    <x v="2"/>
    <s v="College"/>
    <x v="0"/>
    <s v="Male"/>
  </r>
  <r>
    <x v="261"/>
    <x v="0"/>
    <n v="1000"/>
    <n v="15"/>
    <x v="5"/>
    <s v="9/27/2016"/>
    <s v="9/21/2016 16:53"/>
    <m/>
    <s v="Current"/>
    <s v="Current"/>
    <x v="6"/>
    <x v="2"/>
    <s v="Middle Aged"/>
    <x v="0"/>
    <s v="High School Or Below"/>
    <x v="0"/>
    <s v="Male"/>
  </r>
  <r>
    <x v="262"/>
    <x v="0"/>
    <n v="800"/>
    <n v="30"/>
    <x v="5"/>
    <d v="2016-12-10T00:00:00"/>
    <d v="2016-11-10T00:29:00"/>
    <m/>
    <s v="Current"/>
    <s v="Current"/>
    <x v="24"/>
    <x v="3"/>
    <s v=" Young Adults"/>
    <x v="2"/>
    <s v="College"/>
    <x v="1"/>
    <s v="Female"/>
  </r>
  <r>
    <x v="263"/>
    <x v="0"/>
    <n v="1000"/>
    <n v="15"/>
    <x v="5"/>
    <s v="9/27/2016"/>
    <s v="9/25/2016 10:37"/>
    <m/>
    <s v="Current"/>
    <s v="Current"/>
    <x v="19"/>
    <x v="2"/>
    <s v="Middle Aged"/>
    <x v="0"/>
    <s v="High School Or Below"/>
    <x v="0"/>
    <s v="Male"/>
  </r>
  <r>
    <x v="264"/>
    <x v="0"/>
    <n v="800"/>
    <n v="15"/>
    <x v="5"/>
    <s v="9/27/2016"/>
    <s v="9/27/2016 13:00"/>
    <m/>
    <s v="Current"/>
    <s v="Current"/>
    <x v="24"/>
    <x v="3"/>
    <s v=" Young Adults"/>
    <x v="2"/>
    <s v="College"/>
    <x v="0"/>
    <s v="Male"/>
  </r>
  <r>
    <x v="265"/>
    <x v="0"/>
    <n v="1000"/>
    <n v="15"/>
    <x v="5"/>
    <s v="9/27/2016"/>
    <s v="9/26/2016 15:10"/>
    <m/>
    <s v="Current"/>
    <s v="Current"/>
    <x v="14"/>
    <x v="0"/>
    <s v="Mature"/>
    <x v="1"/>
    <s v="Bachelor"/>
    <x v="1"/>
    <s v="Female"/>
  </r>
  <r>
    <x v="266"/>
    <x v="0"/>
    <n v="800"/>
    <n v="15"/>
    <x v="5"/>
    <s v="9/27/2016"/>
    <s v="9/24/2016 12:46"/>
    <m/>
    <s v="Current"/>
    <s v="Current"/>
    <x v="15"/>
    <x v="2"/>
    <s v="Middle Aged"/>
    <x v="1"/>
    <s v="Bachelor"/>
    <x v="1"/>
    <s v="Female"/>
  </r>
  <r>
    <x v="267"/>
    <x v="0"/>
    <n v="1000"/>
    <n v="15"/>
    <x v="6"/>
    <s v="9/28/2016"/>
    <s v="9/28/2016 9:00"/>
    <m/>
    <s v="Current"/>
    <s v="Current"/>
    <x v="17"/>
    <x v="3"/>
    <s v=" Young Adults"/>
    <x v="0"/>
    <s v="High School Or Below"/>
    <x v="0"/>
    <s v="Male"/>
  </r>
  <r>
    <x v="268"/>
    <x v="0"/>
    <n v="1000"/>
    <n v="30"/>
    <x v="6"/>
    <s v="10/13/2016"/>
    <s v="10/13/2016 9:00"/>
    <m/>
    <s v="Current"/>
    <s v="Current"/>
    <x v="27"/>
    <x v="0"/>
    <s v="Mature"/>
    <x v="0"/>
    <s v="High School Or Below"/>
    <x v="0"/>
    <s v="Male"/>
  </r>
  <r>
    <x v="269"/>
    <x v="0"/>
    <n v="800"/>
    <n v="30"/>
    <x v="6"/>
    <s v="10/13/2016"/>
    <d v="2016-06-10T12:09:00"/>
    <m/>
    <s v="Current"/>
    <s v="Current"/>
    <x v="10"/>
    <x v="0"/>
    <s v="Mature"/>
    <x v="2"/>
    <s v="College"/>
    <x v="1"/>
    <s v="Female"/>
  </r>
  <r>
    <x v="270"/>
    <x v="0"/>
    <n v="1000"/>
    <n v="30"/>
    <x v="6"/>
    <s v="10/13/2016"/>
    <s v="10/14/2016 11:03"/>
    <m/>
    <s v="Current"/>
    <s v="Current"/>
    <x v="6"/>
    <x v="2"/>
    <s v="Middle Aged"/>
    <x v="0"/>
    <s v="High School Or Below"/>
    <x v="0"/>
    <s v="Male"/>
  </r>
  <r>
    <x v="271"/>
    <x v="0"/>
    <n v="1000"/>
    <n v="30"/>
    <x v="6"/>
    <s v="10/13/2016"/>
    <d v="2016-08-10T17:12:00"/>
    <m/>
    <s v="Current"/>
    <s v="Current"/>
    <x v="11"/>
    <x v="2"/>
    <s v="Middle Aged"/>
    <x v="2"/>
    <s v="College"/>
    <x v="1"/>
    <s v="Female"/>
  </r>
  <r>
    <x v="272"/>
    <x v="0"/>
    <n v="1000"/>
    <n v="30"/>
    <x v="6"/>
    <d v="2016-12-11T00:00:00"/>
    <d v="2016-12-11T09:00:00"/>
    <m/>
    <s v="Current"/>
    <s v="Current"/>
    <x v="4"/>
    <x v="2"/>
    <s v="Middle Aged"/>
    <x v="2"/>
    <s v="College"/>
    <x v="0"/>
    <s v="Male"/>
  </r>
  <r>
    <x v="273"/>
    <x v="0"/>
    <n v="1000"/>
    <n v="30"/>
    <x v="6"/>
    <s v="10/13/2016"/>
    <s v="10/13/2016 9:00"/>
    <m/>
    <s v="Current"/>
    <s v="Current"/>
    <x v="5"/>
    <x v="0"/>
    <s v="Mature"/>
    <x v="0"/>
    <s v="High School Or Below"/>
    <x v="0"/>
    <s v="Male"/>
  </r>
  <r>
    <x v="274"/>
    <x v="0"/>
    <n v="1000"/>
    <n v="30"/>
    <x v="6"/>
    <s v="10/13/2016"/>
    <s v="10/13/2016 13:00"/>
    <m/>
    <s v="Current"/>
    <s v="Current"/>
    <x v="19"/>
    <x v="2"/>
    <s v="Middle Aged"/>
    <x v="1"/>
    <s v="Bachelor"/>
    <x v="0"/>
    <s v="Male"/>
  </r>
  <r>
    <x v="275"/>
    <x v="0"/>
    <n v="800"/>
    <n v="15"/>
    <x v="6"/>
    <s v="9/28/2016"/>
    <s v="9/27/2016 15:52"/>
    <m/>
    <s v="Current"/>
    <s v="Current"/>
    <x v="21"/>
    <x v="0"/>
    <s v="Mature"/>
    <x v="2"/>
    <s v="College"/>
    <x v="0"/>
    <s v="Male"/>
  </r>
  <r>
    <x v="276"/>
    <x v="0"/>
    <n v="800"/>
    <n v="15"/>
    <x v="6"/>
    <s v="9/28/2016"/>
    <s v="9/28/2016 13:00"/>
    <m/>
    <s v="Current"/>
    <s v="Current"/>
    <x v="16"/>
    <x v="0"/>
    <s v="Mature"/>
    <x v="0"/>
    <s v="High School Or Below"/>
    <x v="0"/>
    <s v="Male"/>
  </r>
  <r>
    <x v="277"/>
    <x v="0"/>
    <n v="1000"/>
    <n v="30"/>
    <x v="6"/>
    <s v="10/13/2016"/>
    <s v="10/13/2016 9:00"/>
    <m/>
    <s v="Current"/>
    <s v="Current"/>
    <x v="15"/>
    <x v="2"/>
    <s v="Middle Aged"/>
    <x v="2"/>
    <s v="College"/>
    <x v="0"/>
    <s v="Male"/>
  </r>
  <r>
    <x v="278"/>
    <x v="0"/>
    <n v="800"/>
    <n v="15"/>
    <x v="6"/>
    <s v="9/28/2016"/>
    <s v="9/15/2016 0:43"/>
    <m/>
    <s v="Current"/>
    <s v="Current"/>
    <x v="7"/>
    <x v="0"/>
    <s v="Mature"/>
    <x v="2"/>
    <s v="College"/>
    <x v="0"/>
    <s v="Male"/>
  </r>
  <r>
    <x v="279"/>
    <x v="0"/>
    <n v="800"/>
    <n v="30"/>
    <x v="6"/>
    <s v="10/13/2016"/>
    <d v="2016-10-10T10:25:00"/>
    <m/>
    <s v="Current"/>
    <s v="Current"/>
    <x v="15"/>
    <x v="2"/>
    <s v="Middle Aged"/>
    <x v="2"/>
    <s v="College"/>
    <x v="0"/>
    <s v="Male"/>
  </r>
  <r>
    <x v="280"/>
    <x v="0"/>
    <n v="800"/>
    <n v="15"/>
    <x v="6"/>
    <s v="9/28/2016"/>
    <s v="9/27/2016 20:41"/>
    <m/>
    <s v="Current"/>
    <s v="Current"/>
    <x v="27"/>
    <x v="0"/>
    <s v="Mature"/>
    <x v="0"/>
    <s v="High School Or Below"/>
    <x v="0"/>
    <s v="Male"/>
  </r>
  <r>
    <x v="281"/>
    <x v="0"/>
    <n v="1000"/>
    <n v="15"/>
    <x v="6"/>
    <s v="9/28/2016"/>
    <s v="9/28/2016 9:00"/>
    <m/>
    <s v="Current"/>
    <s v="Current"/>
    <x v="4"/>
    <x v="2"/>
    <s v="Middle Aged"/>
    <x v="1"/>
    <s v="Bachelor"/>
    <x v="0"/>
    <s v="Male"/>
  </r>
  <r>
    <x v="282"/>
    <x v="0"/>
    <n v="1000"/>
    <n v="30"/>
    <x v="6"/>
    <s v="10/13/2016"/>
    <d v="2016-06-10T06:51:00"/>
    <m/>
    <s v="Current"/>
    <s v="Current"/>
    <x v="19"/>
    <x v="2"/>
    <s v="Middle Aged"/>
    <x v="2"/>
    <s v="College"/>
    <x v="0"/>
    <s v="Male"/>
  </r>
  <r>
    <x v="283"/>
    <x v="0"/>
    <n v="1000"/>
    <n v="30"/>
    <x v="6"/>
    <s v="10/13/2016"/>
    <d v="2016-12-10T06:25:00"/>
    <m/>
    <s v="Current"/>
    <s v="Current"/>
    <x v="19"/>
    <x v="2"/>
    <s v="Middle Aged"/>
    <x v="0"/>
    <s v="High School Or Below"/>
    <x v="0"/>
    <s v="Male"/>
  </r>
  <r>
    <x v="284"/>
    <x v="0"/>
    <n v="1000"/>
    <n v="15"/>
    <x v="6"/>
    <s v="9/28/2016"/>
    <s v="9/27/2016 22:50"/>
    <m/>
    <s v="Current"/>
    <s v="Current"/>
    <x v="17"/>
    <x v="3"/>
    <s v=" Young Adults"/>
    <x v="1"/>
    <s v="Bachelor"/>
    <x v="0"/>
    <s v="Male"/>
  </r>
  <r>
    <x v="285"/>
    <x v="0"/>
    <n v="1000"/>
    <n v="30"/>
    <x v="6"/>
    <d v="2016-12-11T00:00:00"/>
    <d v="2016-12-11T09:00:00"/>
    <m/>
    <s v="Current"/>
    <s v="Current"/>
    <x v="14"/>
    <x v="0"/>
    <s v="Mature"/>
    <x v="1"/>
    <s v="Bachelor"/>
    <x v="0"/>
    <s v="Male"/>
  </r>
  <r>
    <x v="286"/>
    <x v="0"/>
    <n v="1000"/>
    <n v="30"/>
    <x v="6"/>
    <s v="10/13/2016"/>
    <d v="2016-12-10T12:30:00"/>
    <m/>
    <s v="Current"/>
    <s v="Current"/>
    <x v="6"/>
    <x v="2"/>
    <s v="Middle Aged"/>
    <x v="2"/>
    <s v="College"/>
    <x v="0"/>
    <s v="Male"/>
  </r>
  <r>
    <x v="287"/>
    <x v="0"/>
    <n v="1000"/>
    <n v="30"/>
    <x v="6"/>
    <s v="10/13/2016"/>
    <d v="2016-12-10T03:49:00"/>
    <m/>
    <s v="Current"/>
    <s v="Current"/>
    <x v="23"/>
    <x v="0"/>
    <s v="Mature"/>
    <x v="0"/>
    <s v="High School Or Below"/>
    <x v="1"/>
    <s v="Female"/>
  </r>
  <r>
    <x v="288"/>
    <x v="0"/>
    <n v="1000"/>
    <n v="30"/>
    <x v="6"/>
    <s v="10/13/2016"/>
    <s v="10/13/2016 13:00"/>
    <m/>
    <s v="Current"/>
    <s v="Current"/>
    <x v="14"/>
    <x v="0"/>
    <s v="Mature"/>
    <x v="1"/>
    <s v="Bachelor"/>
    <x v="0"/>
    <s v="Male"/>
  </r>
  <r>
    <x v="289"/>
    <x v="0"/>
    <n v="800"/>
    <n v="15"/>
    <x v="6"/>
    <s v="9/28/2016"/>
    <s v="9/27/2016 7:48"/>
    <m/>
    <s v="Current"/>
    <s v="Current"/>
    <x v="4"/>
    <x v="2"/>
    <s v="Middle Aged"/>
    <x v="0"/>
    <s v="High School Or Below"/>
    <x v="0"/>
    <s v="Male"/>
  </r>
  <r>
    <x v="290"/>
    <x v="0"/>
    <n v="1000"/>
    <n v="15"/>
    <x v="6"/>
    <s v="9/28/2016"/>
    <s v="9/22/2016 9:28"/>
    <m/>
    <s v="Current"/>
    <s v="Current"/>
    <x v="19"/>
    <x v="2"/>
    <s v="Middle Aged"/>
    <x v="2"/>
    <s v="College"/>
    <x v="1"/>
    <s v="Female"/>
  </r>
  <r>
    <x v="291"/>
    <x v="0"/>
    <n v="1000"/>
    <n v="30"/>
    <x v="6"/>
    <s v="10/13/2016"/>
    <d v="2016-11-10T16:33:00"/>
    <m/>
    <s v="Current"/>
    <s v="Current"/>
    <x v="30"/>
    <x v="0"/>
    <s v="Mature"/>
    <x v="0"/>
    <s v="High School Or Below"/>
    <x v="0"/>
    <s v="Male"/>
  </r>
  <r>
    <x v="292"/>
    <x v="0"/>
    <n v="1000"/>
    <n v="30"/>
    <x v="6"/>
    <s v="10/13/2016"/>
    <s v="9/18/2016 16:56"/>
    <m/>
    <s v="Current"/>
    <s v="Current"/>
    <x v="6"/>
    <x v="2"/>
    <s v="Middle Aged"/>
    <x v="2"/>
    <s v="College"/>
    <x v="0"/>
    <s v="Male"/>
  </r>
  <r>
    <x v="293"/>
    <x v="0"/>
    <n v="1000"/>
    <n v="30"/>
    <x v="6"/>
    <s v="10/13/2016"/>
    <s v="10/13/2016 9:00"/>
    <m/>
    <s v="Current"/>
    <s v="Current"/>
    <x v="16"/>
    <x v="0"/>
    <s v="Mature"/>
    <x v="0"/>
    <s v="High School Or Below"/>
    <x v="0"/>
    <s v="Male"/>
  </r>
  <r>
    <x v="294"/>
    <x v="0"/>
    <n v="1000"/>
    <n v="30"/>
    <x v="6"/>
    <s v="10/13/2016"/>
    <s v="10/13/2016 13:00"/>
    <m/>
    <s v="Current"/>
    <s v="Current"/>
    <x v="7"/>
    <x v="0"/>
    <s v="Mature"/>
    <x v="1"/>
    <s v="Bachelor"/>
    <x v="0"/>
    <s v="Male"/>
  </r>
  <r>
    <x v="295"/>
    <x v="0"/>
    <n v="1000"/>
    <n v="30"/>
    <x v="6"/>
    <s v="10/13/2016"/>
    <s v="10/13/2016 13:00"/>
    <m/>
    <s v="Current"/>
    <s v="Current"/>
    <x v="19"/>
    <x v="2"/>
    <s v="Middle Aged"/>
    <x v="2"/>
    <s v="College"/>
    <x v="1"/>
    <s v="Female"/>
  </r>
  <r>
    <x v="296"/>
    <x v="0"/>
    <n v="800"/>
    <n v="15"/>
    <x v="6"/>
    <s v="9/28/2016"/>
    <s v="9/21/2016 4:42"/>
    <m/>
    <s v="Current"/>
    <s v="Current"/>
    <x v="3"/>
    <x v="2"/>
    <s v="Middle Aged"/>
    <x v="2"/>
    <s v="College"/>
    <x v="0"/>
    <s v="Male"/>
  </r>
  <r>
    <x v="297"/>
    <x v="0"/>
    <n v="1000"/>
    <n v="30"/>
    <x v="6"/>
    <s v="10/13/2016"/>
    <s v="10/13/2016 9:00"/>
    <m/>
    <s v="Current"/>
    <s v="Current"/>
    <x v="6"/>
    <x v="2"/>
    <s v="Middle Aged"/>
    <x v="0"/>
    <s v="High School Or Below"/>
    <x v="0"/>
    <s v="Male"/>
  </r>
  <r>
    <x v="298"/>
    <x v="0"/>
    <n v="1000"/>
    <n v="30"/>
    <x v="6"/>
    <s v="10/13/2016"/>
    <s v="10/13/2016 9:00"/>
    <m/>
    <s v="Current"/>
    <s v="Current"/>
    <x v="10"/>
    <x v="0"/>
    <s v="Mature"/>
    <x v="0"/>
    <s v="High School Or Below"/>
    <x v="0"/>
    <s v="Male"/>
  </r>
  <r>
    <x v="299"/>
    <x v="0"/>
    <n v="1000"/>
    <n v="30"/>
    <x v="6"/>
    <s v="10/13/2016"/>
    <s v="10/13/2016 11:00"/>
    <m/>
    <s v="Current"/>
    <s v="Current"/>
    <x v="4"/>
    <x v="2"/>
    <s v="Middle Aged"/>
    <x v="2"/>
    <s v="College"/>
    <x v="0"/>
    <s v="Male"/>
  </r>
  <r>
    <x v="300"/>
    <x v="1"/>
    <n v="1000"/>
    <n v="15"/>
    <x v="1"/>
    <s v="9/23/2016"/>
    <m/>
    <n v="76"/>
    <s v=" 40 - 80 Days"/>
    <s v="40 - 80 Days"/>
    <x v="6"/>
    <x v="2"/>
    <s v="Middle Aged"/>
    <x v="2"/>
    <s v="College"/>
    <x v="0"/>
    <s v="Male"/>
  </r>
  <r>
    <x v="301"/>
    <x v="1"/>
    <n v="1000"/>
    <n v="30"/>
    <x v="1"/>
    <d v="2016-08-10T00:00:00"/>
    <m/>
    <n v="61"/>
    <s v=" 40 - 80 Days"/>
    <s v="40 - 80 Days"/>
    <x v="16"/>
    <x v="0"/>
    <s v="Mature"/>
    <x v="0"/>
    <s v="High School Or Below"/>
    <x v="0"/>
    <s v="Male"/>
  </r>
  <r>
    <x v="302"/>
    <x v="1"/>
    <n v="1000"/>
    <n v="30"/>
    <x v="1"/>
    <d v="2016-08-10T00:00:00"/>
    <m/>
    <n v="61"/>
    <s v=" 40 - 80 Days"/>
    <s v="40 - 80 Days"/>
    <x v="2"/>
    <x v="2"/>
    <s v="Middle Aged"/>
    <x v="0"/>
    <s v="High School Or Below"/>
    <x v="0"/>
    <s v="Male"/>
  </r>
  <r>
    <x v="303"/>
    <x v="1"/>
    <n v="800"/>
    <n v="15"/>
    <x v="1"/>
    <s v="9/23/2016"/>
    <m/>
    <n v="76"/>
    <s v=" 40 - 80 Days"/>
    <s v="40 - 80 Days"/>
    <x v="3"/>
    <x v="2"/>
    <s v="Middle Aged"/>
    <x v="2"/>
    <s v="College"/>
    <x v="0"/>
    <s v="Male"/>
  </r>
  <r>
    <x v="304"/>
    <x v="1"/>
    <n v="800"/>
    <n v="15"/>
    <x v="1"/>
    <s v="9/23/2016"/>
    <m/>
    <n v="76"/>
    <s v=" 40 - 80 Days"/>
    <s v="40 - 80 Days"/>
    <x v="17"/>
    <x v="3"/>
    <s v=" Young Adults"/>
    <x v="1"/>
    <s v="Bachelor"/>
    <x v="0"/>
    <s v="Male"/>
  </r>
  <r>
    <x v="305"/>
    <x v="1"/>
    <n v="1000"/>
    <n v="15"/>
    <x v="2"/>
    <s v="9/24/2016"/>
    <m/>
    <n v="75"/>
    <s v=" 40 - 80 Days"/>
    <s v="40 - 80 Days"/>
    <x v="15"/>
    <x v="2"/>
    <s v="Middle Aged"/>
    <x v="0"/>
    <s v="High School Or Below"/>
    <x v="1"/>
    <s v="Female"/>
  </r>
  <r>
    <x v="306"/>
    <x v="1"/>
    <n v="800"/>
    <n v="15"/>
    <x v="2"/>
    <d v="2016-09-10T00:00:00"/>
    <m/>
    <n v="60"/>
    <s v=" 40 - 80 Days"/>
    <s v="40 - 80 Days"/>
    <x v="4"/>
    <x v="2"/>
    <s v="Middle Aged"/>
    <x v="2"/>
    <s v="College"/>
    <x v="0"/>
    <s v="Male"/>
  </r>
  <r>
    <x v="307"/>
    <x v="1"/>
    <n v="1000"/>
    <n v="30"/>
    <x v="2"/>
    <d v="2016-09-10T00:00:00"/>
    <m/>
    <n v="60"/>
    <s v=" 40 - 80 Days"/>
    <s v="40 - 80 Days"/>
    <x v="10"/>
    <x v="0"/>
    <s v="Mature"/>
    <x v="0"/>
    <s v="High School Or Below"/>
    <x v="0"/>
    <s v="Male"/>
  </r>
  <r>
    <x v="308"/>
    <x v="1"/>
    <n v="1000"/>
    <n v="30"/>
    <x v="2"/>
    <d v="2016-09-10T00:00:00"/>
    <m/>
    <n v="60"/>
    <s v=" 40 - 80 Days"/>
    <s v="40 - 80 Days"/>
    <x v="2"/>
    <x v="2"/>
    <s v="Middle Aged"/>
    <x v="2"/>
    <s v="College"/>
    <x v="0"/>
    <s v="Male"/>
  </r>
  <r>
    <x v="309"/>
    <x v="1"/>
    <n v="800"/>
    <n v="15"/>
    <x v="2"/>
    <s v="9/24/2016"/>
    <m/>
    <n v="75"/>
    <s v=" 40 - 80 Days"/>
    <s v="40 - 80 Days"/>
    <x v="30"/>
    <x v="0"/>
    <s v="Mature"/>
    <x v="2"/>
    <s v="College"/>
    <x v="0"/>
    <s v="Male"/>
  </r>
  <r>
    <x v="310"/>
    <x v="1"/>
    <n v="1000"/>
    <n v="30"/>
    <x v="2"/>
    <d v="2016-09-10T00:00:00"/>
    <m/>
    <n v="60"/>
    <s v=" 40 - 80 Days"/>
    <s v="40 - 80 Days"/>
    <x v="19"/>
    <x v="2"/>
    <s v="Middle Aged"/>
    <x v="2"/>
    <s v="College"/>
    <x v="0"/>
    <s v="Male"/>
  </r>
  <r>
    <x v="311"/>
    <x v="1"/>
    <n v="800"/>
    <n v="15"/>
    <x v="2"/>
    <s v="9/24/2016"/>
    <m/>
    <n v="75"/>
    <s v=" 40 - 80 Days"/>
    <s v="40 - 80 Days"/>
    <x v="8"/>
    <x v="2"/>
    <s v="Middle Aged"/>
    <x v="0"/>
    <s v="High School Or Below"/>
    <x v="1"/>
    <s v="Female"/>
  </r>
  <r>
    <x v="312"/>
    <x v="1"/>
    <n v="1000"/>
    <n v="30"/>
    <x v="2"/>
    <d v="2016-09-10T00:00:00"/>
    <m/>
    <n v="60"/>
    <s v=" 40 - 80 Days"/>
    <s v="40 - 80 Days"/>
    <x v="3"/>
    <x v="2"/>
    <s v="Middle Aged"/>
    <x v="0"/>
    <s v="High School Or Below"/>
    <x v="0"/>
    <s v="Male"/>
  </r>
  <r>
    <x v="313"/>
    <x v="1"/>
    <n v="1000"/>
    <n v="30"/>
    <x v="2"/>
    <d v="2016-09-10T00:00:00"/>
    <m/>
    <n v="60"/>
    <s v=" 40 - 80 Days"/>
    <s v="40 - 80 Days"/>
    <x v="25"/>
    <x v="3"/>
    <s v=" Young Adults"/>
    <x v="0"/>
    <s v="High School Or Below"/>
    <x v="0"/>
    <s v="Male"/>
  </r>
  <r>
    <x v="314"/>
    <x v="1"/>
    <n v="1000"/>
    <n v="30"/>
    <x v="2"/>
    <d v="2016-09-10T00:00:00"/>
    <m/>
    <n v="60"/>
    <s v=" 40 - 80 Days"/>
    <s v="40 - 80 Days"/>
    <x v="17"/>
    <x v="3"/>
    <s v=" Young Adults"/>
    <x v="2"/>
    <s v="College"/>
    <x v="0"/>
    <s v="Male"/>
  </r>
  <r>
    <x v="315"/>
    <x v="1"/>
    <n v="1000"/>
    <n v="15"/>
    <x v="2"/>
    <d v="2016-09-10T00:00:00"/>
    <m/>
    <n v="60"/>
    <s v=" 40 - 80 Days"/>
    <s v="40 - 80 Days"/>
    <x v="8"/>
    <x v="2"/>
    <s v="Middle Aged"/>
    <x v="0"/>
    <s v="High School Or Below"/>
    <x v="0"/>
    <s v="Male"/>
  </r>
  <r>
    <x v="316"/>
    <x v="1"/>
    <n v="1000"/>
    <n v="30"/>
    <x v="2"/>
    <d v="2016-09-10T00:00:00"/>
    <m/>
    <n v="60"/>
    <s v=" 40 - 80 Days"/>
    <s v="40 - 80 Days"/>
    <x v="19"/>
    <x v="2"/>
    <s v="Middle Aged"/>
    <x v="0"/>
    <s v="High School Or Below"/>
    <x v="0"/>
    <s v="Male"/>
  </r>
  <r>
    <x v="317"/>
    <x v="1"/>
    <n v="1000"/>
    <n v="15"/>
    <x v="2"/>
    <s v="9/24/2016"/>
    <m/>
    <n v="75"/>
    <s v=" 40 - 80 Days"/>
    <s v="40 - 80 Days"/>
    <x v="6"/>
    <x v="2"/>
    <s v="Middle Aged"/>
    <x v="0"/>
    <s v="High School Or Below"/>
    <x v="0"/>
    <s v="Male"/>
  </r>
  <r>
    <x v="318"/>
    <x v="1"/>
    <n v="1000"/>
    <n v="30"/>
    <x v="2"/>
    <d v="2016-09-10T00:00:00"/>
    <m/>
    <n v="60"/>
    <s v=" 40 - 80 Days"/>
    <s v="40 - 80 Days"/>
    <x v="20"/>
    <x v="3"/>
    <s v=" Young Adults"/>
    <x v="1"/>
    <s v="Bachelor"/>
    <x v="0"/>
    <s v="Male"/>
  </r>
  <r>
    <x v="319"/>
    <x v="1"/>
    <n v="1000"/>
    <n v="15"/>
    <x v="2"/>
    <s v="9/24/2016"/>
    <m/>
    <n v="75"/>
    <s v=" 40 - 80 Days"/>
    <s v="40 - 80 Days"/>
    <x v="17"/>
    <x v="3"/>
    <s v=" Young Adults"/>
    <x v="1"/>
    <s v="Bachelor"/>
    <x v="0"/>
    <s v="Male"/>
  </r>
  <r>
    <x v="320"/>
    <x v="1"/>
    <n v="1000"/>
    <n v="30"/>
    <x v="2"/>
    <d v="2016-09-10T00:00:00"/>
    <m/>
    <n v="60"/>
    <s v=" 40 - 80 Days"/>
    <s v="40 - 80 Days"/>
    <x v="13"/>
    <x v="3"/>
    <s v=" Young Adults"/>
    <x v="2"/>
    <s v="College"/>
    <x v="0"/>
    <s v="Male"/>
  </r>
  <r>
    <x v="321"/>
    <x v="1"/>
    <n v="1000"/>
    <n v="30"/>
    <x v="2"/>
    <d v="2016-09-10T00:00:00"/>
    <m/>
    <n v="60"/>
    <s v=" 40 - 80 Days"/>
    <s v="40 - 80 Days"/>
    <x v="4"/>
    <x v="2"/>
    <s v="Middle Aged"/>
    <x v="0"/>
    <s v="High School Or Below"/>
    <x v="0"/>
    <s v="Male"/>
  </r>
  <r>
    <x v="322"/>
    <x v="1"/>
    <n v="1000"/>
    <n v="30"/>
    <x v="2"/>
    <d v="2016-09-10T00:00:00"/>
    <m/>
    <n v="60"/>
    <s v=" 40 - 80 Days"/>
    <s v="40 - 80 Days"/>
    <x v="16"/>
    <x v="0"/>
    <s v="Mature"/>
    <x v="2"/>
    <s v="College"/>
    <x v="0"/>
    <s v="Male"/>
  </r>
  <r>
    <x v="323"/>
    <x v="1"/>
    <n v="800"/>
    <n v="15"/>
    <x v="2"/>
    <s v="9/24/2016"/>
    <m/>
    <n v="75"/>
    <s v=" 40 - 80 Days"/>
    <s v="40 - 80 Days"/>
    <x v="11"/>
    <x v="2"/>
    <s v="Middle Aged"/>
    <x v="2"/>
    <s v="College"/>
    <x v="0"/>
    <s v="Male"/>
  </r>
  <r>
    <x v="324"/>
    <x v="1"/>
    <n v="1000"/>
    <n v="15"/>
    <x v="2"/>
    <s v="9/24/2016"/>
    <m/>
    <n v="75"/>
    <s v=" 40 - 80 Days"/>
    <s v="40 - 80 Days"/>
    <x v="14"/>
    <x v="0"/>
    <s v="Mature"/>
    <x v="2"/>
    <s v="College"/>
    <x v="0"/>
    <s v="Male"/>
  </r>
  <r>
    <x v="325"/>
    <x v="1"/>
    <n v="1000"/>
    <n v="30"/>
    <x v="3"/>
    <d v="2016-10-10T00:00:00"/>
    <m/>
    <n v="59"/>
    <s v=" 40 - 80 Days"/>
    <s v="40 - 80 Days"/>
    <x v="4"/>
    <x v="2"/>
    <s v="Middle Aged"/>
    <x v="1"/>
    <s v="Bachelor"/>
    <x v="0"/>
    <s v="Male"/>
  </r>
  <r>
    <x v="326"/>
    <x v="1"/>
    <n v="800"/>
    <n v="15"/>
    <x v="3"/>
    <s v="9/25/2016"/>
    <m/>
    <n v="74"/>
    <s v=" 40 - 80 Days"/>
    <s v="40 - 80 Days"/>
    <x v="5"/>
    <x v="0"/>
    <s v="Mature"/>
    <x v="1"/>
    <s v="Bachelor"/>
    <x v="0"/>
    <s v="Male"/>
  </r>
  <r>
    <x v="327"/>
    <x v="1"/>
    <n v="1000"/>
    <n v="30"/>
    <x v="3"/>
    <d v="2016-09-11T00:00:00"/>
    <m/>
    <n v="29"/>
    <s v="1 - 39 Days"/>
    <s v="1 - 39 Days"/>
    <x v="3"/>
    <x v="2"/>
    <s v="Middle Aged"/>
    <x v="2"/>
    <s v="College"/>
    <x v="0"/>
    <s v="Male"/>
  </r>
  <r>
    <x v="328"/>
    <x v="1"/>
    <n v="1000"/>
    <n v="30"/>
    <x v="3"/>
    <d v="2016-10-10T00:00:00"/>
    <m/>
    <n v="59"/>
    <s v=" 40 - 80 Days"/>
    <s v="40 - 80 Days"/>
    <x v="17"/>
    <x v="3"/>
    <s v=" Young Adults"/>
    <x v="0"/>
    <s v="High School Or Below"/>
    <x v="1"/>
    <s v="Female"/>
  </r>
  <r>
    <x v="329"/>
    <x v="1"/>
    <n v="1000"/>
    <n v="30"/>
    <x v="3"/>
    <d v="2016-10-10T00:00:00"/>
    <m/>
    <n v="59"/>
    <s v=" 40 - 80 Days"/>
    <s v="40 - 80 Days"/>
    <x v="21"/>
    <x v="0"/>
    <s v="Mature"/>
    <x v="1"/>
    <s v="Bachelor"/>
    <x v="0"/>
    <s v="Male"/>
  </r>
  <r>
    <x v="330"/>
    <x v="1"/>
    <n v="1000"/>
    <n v="15"/>
    <x v="3"/>
    <s v="10/25/2016"/>
    <m/>
    <n v="44"/>
    <s v=" 40 - 80 Days"/>
    <s v="40 - 80 Days"/>
    <x v="15"/>
    <x v="2"/>
    <s v="Middle Aged"/>
    <x v="2"/>
    <s v="College"/>
    <x v="0"/>
    <s v="Male"/>
  </r>
  <r>
    <x v="331"/>
    <x v="1"/>
    <n v="800"/>
    <n v="15"/>
    <x v="3"/>
    <s v="9/25/2016"/>
    <m/>
    <n v="74"/>
    <s v=" 40 - 80 Days"/>
    <s v="40 - 80 Days"/>
    <x v="3"/>
    <x v="2"/>
    <s v="Middle Aged"/>
    <x v="2"/>
    <s v="College"/>
    <x v="0"/>
    <s v="Male"/>
  </r>
  <r>
    <x v="332"/>
    <x v="1"/>
    <n v="1000"/>
    <n v="30"/>
    <x v="3"/>
    <d v="2016-10-10T00:00:00"/>
    <m/>
    <n v="59"/>
    <s v=" 40 - 80 Days"/>
    <s v="40 - 80 Days"/>
    <x v="18"/>
    <x v="3"/>
    <s v=" Young Adults"/>
    <x v="0"/>
    <s v="High School Or Below"/>
    <x v="0"/>
    <s v="Male"/>
  </r>
  <r>
    <x v="333"/>
    <x v="1"/>
    <n v="1000"/>
    <n v="30"/>
    <x v="3"/>
    <d v="2016-10-10T00:00:00"/>
    <m/>
    <n v="59"/>
    <s v=" 40 - 80 Days"/>
    <s v="40 - 80 Days"/>
    <x v="19"/>
    <x v="2"/>
    <s v="Middle Aged"/>
    <x v="0"/>
    <s v="High School Or Below"/>
    <x v="1"/>
    <s v="Female"/>
  </r>
  <r>
    <x v="334"/>
    <x v="1"/>
    <n v="1000"/>
    <n v="30"/>
    <x v="3"/>
    <d v="2016-10-10T00:00:00"/>
    <m/>
    <n v="59"/>
    <s v=" 40 - 80 Days"/>
    <s v="40 - 80 Days"/>
    <x v="23"/>
    <x v="0"/>
    <s v="Mature"/>
    <x v="2"/>
    <s v="College"/>
    <x v="1"/>
    <s v="Female"/>
  </r>
  <r>
    <x v="335"/>
    <x v="1"/>
    <n v="1000"/>
    <n v="30"/>
    <x v="3"/>
    <d v="2016-10-10T00:00:00"/>
    <m/>
    <n v="59"/>
    <s v=" 40 - 80 Days"/>
    <s v="40 - 80 Days"/>
    <x v="14"/>
    <x v="0"/>
    <s v="Mature"/>
    <x v="0"/>
    <s v="High School Or Below"/>
    <x v="0"/>
    <s v="Male"/>
  </r>
  <r>
    <x v="336"/>
    <x v="1"/>
    <n v="1000"/>
    <n v="30"/>
    <x v="3"/>
    <d v="2016-10-10T00:00:00"/>
    <m/>
    <n v="59"/>
    <s v=" 40 - 80 Days"/>
    <s v="40 - 80 Days"/>
    <x v="15"/>
    <x v="2"/>
    <s v="Middle Aged"/>
    <x v="2"/>
    <s v="College"/>
    <x v="0"/>
    <s v="Male"/>
  </r>
  <r>
    <x v="337"/>
    <x v="1"/>
    <n v="1000"/>
    <n v="30"/>
    <x v="3"/>
    <d v="2016-10-10T00:00:00"/>
    <m/>
    <n v="59"/>
    <s v=" 40 - 80 Days"/>
    <s v="40 - 80 Days"/>
    <x v="24"/>
    <x v="3"/>
    <s v=" Young Adults"/>
    <x v="0"/>
    <s v="High School Or Below"/>
    <x v="0"/>
    <s v="Male"/>
  </r>
  <r>
    <x v="338"/>
    <x v="1"/>
    <n v="1000"/>
    <n v="15"/>
    <x v="3"/>
    <s v="9/25/2016"/>
    <m/>
    <n v="74"/>
    <s v=" 40 - 80 Days"/>
    <s v="40 - 80 Days"/>
    <x v="3"/>
    <x v="2"/>
    <s v="Middle Aged"/>
    <x v="2"/>
    <s v="College"/>
    <x v="1"/>
    <s v="Female"/>
  </r>
  <r>
    <x v="339"/>
    <x v="1"/>
    <n v="1000"/>
    <n v="15"/>
    <x v="3"/>
    <s v="9/25/2016"/>
    <m/>
    <n v="74"/>
    <s v=" 40 - 80 Days"/>
    <s v="40 - 80 Days"/>
    <x v="9"/>
    <x v="0"/>
    <s v="Mature"/>
    <x v="0"/>
    <s v="High School Or Below"/>
    <x v="0"/>
    <s v="Male"/>
  </r>
  <r>
    <x v="340"/>
    <x v="1"/>
    <n v="1000"/>
    <n v="30"/>
    <x v="3"/>
    <d v="2016-10-10T00:00:00"/>
    <m/>
    <n v="59"/>
    <s v=" 40 - 80 Days"/>
    <s v="40 - 80 Days"/>
    <x v="19"/>
    <x v="2"/>
    <s v="Middle Aged"/>
    <x v="0"/>
    <s v="High School Or Below"/>
    <x v="1"/>
    <s v="Female"/>
  </r>
  <r>
    <x v="341"/>
    <x v="1"/>
    <n v="1000"/>
    <n v="30"/>
    <x v="3"/>
    <d v="2016-10-10T00:00:00"/>
    <m/>
    <n v="59"/>
    <s v=" 40 - 80 Days"/>
    <s v="40 - 80 Days"/>
    <x v="13"/>
    <x v="3"/>
    <s v=" Young Adults"/>
    <x v="2"/>
    <s v="College"/>
    <x v="0"/>
    <s v="Male"/>
  </r>
  <r>
    <x v="342"/>
    <x v="1"/>
    <n v="1000"/>
    <n v="15"/>
    <x v="3"/>
    <s v="9/25/2016"/>
    <m/>
    <n v="74"/>
    <s v=" 40 - 80 Days"/>
    <s v="40 - 80 Days"/>
    <x v="1"/>
    <x v="1"/>
    <s v="Old"/>
    <x v="3"/>
    <s v="Master Or Above"/>
    <x v="0"/>
    <s v="Male"/>
  </r>
  <r>
    <x v="343"/>
    <x v="1"/>
    <n v="1000"/>
    <n v="30"/>
    <x v="3"/>
    <d v="2016-10-10T00:00:00"/>
    <m/>
    <n v="59"/>
    <s v=" 40 - 80 Days"/>
    <s v="40 - 80 Days"/>
    <x v="24"/>
    <x v="3"/>
    <s v=" Young Adults"/>
    <x v="0"/>
    <s v="High School Or Below"/>
    <x v="0"/>
    <s v="Male"/>
  </r>
  <r>
    <x v="344"/>
    <x v="1"/>
    <n v="800"/>
    <n v="15"/>
    <x v="3"/>
    <s v="9/25/2016"/>
    <m/>
    <n v="74"/>
    <s v=" 40 - 80 Days"/>
    <s v="40 - 80 Days"/>
    <x v="23"/>
    <x v="0"/>
    <s v="Mature"/>
    <x v="1"/>
    <s v="Bachelor"/>
    <x v="0"/>
    <s v="Male"/>
  </r>
  <r>
    <x v="345"/>
    <x v="1"/>
    <n v="1000"/>
    <n v="30"/>
    <x v="3"/>
    <d v="2016-10-10T00:00:00"/>
    <m/>
    <n v="59"/>
    <s v=" 40 - 80 Days"/>
    <s v="40 - 80 Days"/>
    <x v="3"/>
    <x v="2"/>
    <s v="Middle Aged"/>
    <x v="0"/>
    <s v="High School Or Below"/>
    <x v="0"/>
    <s v="Male"/>
  </r>
  <r>
    <x v="346"/>
    <x v="1"/>
    <n v="1000"/>
    <n v="30"/>
    <x v="3"/>
    <d v="2016-09-11T00:00:00"/>
    <m/>
    <n v="29"/>
    <s v="1 - 39 Days"/>
    <s v="1 - 39 Days"/>
    <x v="15"/>
    <x v="2"/>
    <s v="Middle Aged"/>
    <x v="0"/>
    <s v="High School Or Below"/>
    <x v="0"/>
    <s v="Male"/>
  </r>
  <r>
    <x v="347"/>
    <x v="1"/>
    <n v="800"/>
    <n v="15"/>
    <x v="3"/>
    <s v="9/25/2016"/>
    <m/>
    <n v="74"/>
    <s v=" 40 - 80 Days"/>
    <s v="40 - 80 Days"/>
    <x v="10"/>
    <x v="0"/>
    <s v="Mature"/>
    <x v="2"/>
    <s v="College"/>
    <x v="0"/>
    <s v="Male"/>
  </r>
  <r>
    <x v="348"/>
    <x v="1"/>
    <n v="1000"/>
    <n v="30"/>
    <x v="3"/>
    <d v="2016-10-10T00:00:00"/>
    <m/>
    <n v="59"/>
    <s v=" 40 - 80 Days"/>
    <s v="40 - 80 Days"/>
    <x v="11"/>
    <x v="2"/>
    <s v="Middle Aged"/>
    <x v="0"/>
    <s v="High School Or Below"/>
    <x v="0"/>
    <s v="Male"/>
  </r>
  <r>
    <x v="349"/>
    <x v="1"/>
    <n v="800"/>
    <n v="15"/>
    <x v="3"/>
    <s v="9/25/2016"/>
    <m/>
    <n v="74"/>
    <s v=" 40 - 80 Days"/>
    <s v="40 - 80 Days"/>
    <x v="6"/>
    <x v="2"/>
    <s v="Middle Aged"/>
    <x v="2"/>
    <s v="College"/>
    <x v="0"/>
    <s v="Male"/>
  </r>
  <r>
    <x v="350"/>
    <x v="1"/>
    <n v="1000"/>
    <n v="30"/>
    <x v="3"/>
    <d v="2016-10-10T00:00:00"/>
    <m/>
    <n v="59"/>
    <s v=" 40 - 80 Days"/>
    <s v="40 - 80 Days"/>
    <x v="8"/>
    <x v="2"/>
    <s v="Middle Aged"/>
    <x v="0"/>
    <s v="High School Or Below"/>
    <x v="0"/>
    <s v="Male"/>
  </r>
  <r>
    <x v="351"/>
    <x v="1"/>
    <n v="1000"/>
    <n v="15"/>
    <x v="3"/>
    <s v="9/25/2016"/>
    <m/>
    <n v="74"/>
    <s v=" 40 - 80 Days"/>
    <s v="40 - 80 Days"/>
    <x v="13"/>
    <x v="3"/>
    <s v=" Young Adults"/>
    <x v="2"/>
    <s v="College"/>
    <x v="0"/>
    <s v="Male"/>
  </r>
  <r>
    <x v="352"/>
    <x v="1"/>
    <n v="1000"/>
    <n v="30"/>
    <x v="3"/>
    <d v="2016-10-10T00:00:00"/>
    <m/>
    <n v="59"/>
    <s v=" 40 - 80 Days"/>
    <s v="40 - 80 Days"/>
    <x v="5"/>
    <x v="0"/>
    <s v="Mature"/>
    <x v="0"/>
    <s v="High School Or Below"/>
    <x v="0"/>
    <s v="Male"/>
  </r>
  <r>
    <x v="353"/>
    <x v="1"/>
    <n v="1000"/>
    <n v="30"/>
    <x v="3"/>
    <d v="2016-10-10T00:00:00"/>
    <m/>
    <n v="59"/>
    <s v=" 40 - 80 Days"/>
    <s v="40 - 80 Days"/>
    <x v="30"/>
    <x v="0"/>
    <s v="Mature"/>
    <x v="0"/>
    <s v="High School Or Below"/>
    <x v="0"/>
    <s v="Male"/>
  </r>
  <r>
    <x v="354"/>
    <x v="1"/>
    <n v="1000"/>
    <n v="30"/>
    <x v="3"/>
    <d v="2016-10-10T00:00:00"/>
    <m/>
    <n v="59"/>
    <s v=" 40 - 80 Days"/>
    <s v="40 - 80 Days"/>
    <x v="16"/>
    <x v="0"/>
    <s v="Mature"/>
    <x v="0"/>
    <s v="High School Or Below"/>
    <x v="0"/>
    <s v="Male"/>
  </r>
  <r>
    <x v="355"/>
    <x v="1"/>
    <n v="1000"/>
    <n v="15"/>
    <x v="3"/>
    <d v="2016-10-10T00:00:00"/>
    <m/>
    <n v="59"/>
    <s v=" 40 - 80 Days"/>
    <s v="40 - 80 Days"/>
    <x v="14"/>
    <x v="0"/>
    <s v="Mature"/>
    <x v="2"/>
    <s v="College"/>
    <x v="0"/>
    <s v="Male"/>
  </r>
  <r>
    <x v="356"/>
    <x v="1"/>
    <n v="1000"/>
    <n v="30"/>
    <x v="3"/>
    <d v="2016-10-10T00:00:00"/>
    <m/>
    <n v="59"/>
    <s v=" 40 - 80 Days"/>
    <s v="40 - 80 Days"/>
    <x v="0"/>
    <x v="0"/>
    <s v="Mature"/>
    <x v="0"/>
    <s v="High School Or Below"/>
    <x v="0"/>
    <s v="Male"/>
  </r>
  <r>
    <x v="357"/>
    <x v="1"/>
    <n v="1000"/>
    <n v="30"/>
    <x v="3"/>
    <d v="2016-10-10T00:00:00"/>
    <m/>
    <n v="59"/>
    <s v=" 40 - 80 Days"/>
    <s v="40 - 80 Days"/>
    <x v="8"/>
    <x v="2"/>
    <s v="Middle Aged"/>
    <x v="1"/>
    <s v="Bachelor"/>
    <x v="0"/>
    <s v="Male"/>
  </r>
  <r>
    <x v="358"/>
    <x v="1"/>
    <n v="1000"/>
    <n v="30"/>
    <x v="3"/>
    <d v="2016-10-10T00:00:00"/>
    <m/>
    <n v="59"/>
    <s v=" 40 - 80 Days"/>
    <s v="40 - 80 Days"/>
    <x v="11"/>
    <x v="2"/>
    <s v="Middle Aged"/>
    <x v="2"/>
    <s v="College"/>
    <x v="0"/>
    <s v="Male"/>
  </r>
  <r>
    <x v="359"/>
    <x v="1"/>
    <n v="1000"/>
    <n v="30"/>
    <x v="3"/>
    <d v="2016-10-10T00:00:00"/>
    <m/>
    <n v="59"/>
    <s v=" 40 - 80 Days"/>
    <s v="40 - 80 Days"/>
    <x v="4"/>
    <x v="2"/>
    <s v="Middle Aged"/>
    <x v="0"/>
    <s v="High School Or Below"/>
    <x v="0"/>
    <s v="Male"/>
  </r>
  <r>
    <x v="360"/>
    <x v="1"/>
    <n v="1000"/>
    <n v="30"/>
    <x v="3"/>
    <d v="2016-10-10T00:00:00"/>
    <m/>
    <n v="59"/>
    <s v=" 40 - 80 Days"/>
    <s v="40 - 80 Days"/>
    <x v="14"/>
    <x v="0"/>
    <s v="Mature"/>
    <x v="2"/>
    <s v="College"/>
    <x v="0"/>
    <s v="Male"/>
  </r>
  <r>
    <x v="361"/>
    <x v="1"/>
    <n v="800"/>
    <n v="15"/>
    <x v="3"/>
    <s v="9/25/2016"/>
    <m/>
    <n v="74"/>
    <s v=" 40 - 80 Days"/>
    <s v="40 - 80 Days"/>
    <x v="6"/>
    <x v="2"/>
    <s v="Middle Aged"/>
    <x v="0"/>
    <s v="High School Or Below"/>
    <x v="0"/>
    <s v="Male"/>
  </r>
  <r>
    <x v="362"/>
    <x v="1"/>
    <n v="1000"/>
    <n v="30"/>
    <x v="3"/>
    <d v="2016-10-10T00:00:00"/>
    <m/>
    <n v="59"/>
    <s v=" 40 - 80 Days"/>
    <s v="40 - 80 Days"/>
    <x v="8"/>
    <x v="2"/>
    <s v="Middle Aged"/>
    <x v="0"/>
    <s v="High School Or Below"/>
    <x v="0"/>
    <s v="Male"/>
  </r>
  <r>
    <x v="363"/>
    <x v="1"/>
    <n v="1000"/>
    <n v="15"/>
    <x v="3"/>
    <s v="9/25/2016"/>
    <m/>
    <n v="74"/>
    <s v=" 40 - 80 Days"/>
    <s v="40 - 80 Days"/>
    <x v="8"/>
    <x v="2"/>
    <s v="Middle Aged"/>
    <x v="2"/>
    <s v="College"/>
    <x v="0"/>
    <s v="Male"/>
  </r>
  <r>
    <x v="364"/>
    <x v="1"/>
    <n v="800"/>
    <n v="15"/>
    <x v="3"/>
    <s v="9/25/2016"/>
    <m/>
    <n v="74"/>
    <s v=" 40 - 80 Days"/>
    <s v="40 - 80 Days"/>
    <x v="20"/>
    <x v="3"/>
    <s v=" Young Adults"/>
    <x v="2"/>
    <s v="College"/>
    <x v="0"/>
    <s v="Male"/>
  </r>
  <r>
    <x v="365"/>
    <x v="1"/>
    <n v="1000"/>
    <n v="30"/>
    <x v="3"/>
    <d v="2016-10-10T00:00:00"/>
    <m/>
    <n v="59"/>
    <s v=" 40 - 80 Days"/>
    <s v="40 - 80 Days"/>
    <x v="3"/>
    <x v="2"/>
    <s v="Middle Aged"/>
    <x v="0"/>
    <s v="High School Or Below"/>
    <x v="1"/>
    <s v="Female"/>
  </r>
  <r>
    <x v="366"/>
    <x v="1"/>
    <n v="800"/>
    <n v="30"/>
    <x v="3"/>
    <d v="2016-10-10T00:00:00"/>
    <m/>
    <n v="59"/>
    <s v=" 40 - 80 Days"/>
    <s v="40 - 80 Days"/>
    <x v="2"/>
    <x v="2"/>
    <s v="Middle Aged"/>
    <x v="0"/>
    <s v="High School Or Below"/>
    <x v="0"/>
    <s v="Male"/>
  </r>
  <r>
    <x v="367"/>
    <x v="1"/>
    <n v="800"/>
    <n v="15"/>
    <x v="3"/>
    <s v="9/25/2016"/>
    <m/>
    <n v="74"/>
    <s v=" 40 - 80 Days"/>
    <s v="40 - 80 Days"/>
    <x v="4"/>
    <x v="2"/>
    <s v="Middle Aged"/>
    <x v="1"/>
    <s v="Bachelor"/>
    <x v="0"/>
    <s v="Male"/>
  </r>
  <r>
    <x v="368"/>
    <x v="1"/>
    <n v="1000"/>
    <n v="30"/>
    <x v="3"/>
    <d v="2016-10-10T00:00:00"/>
    <m/>
    <n v="59"/>
    <s v=" 40 - 80 Days"/>
    <s v="40 - 80 Days"/>
    <x v="17"/>
    <x v="3"/>
    <s v=" Young Adults"/>
    <x v="2"/>
    <s v="College"/>
    <x v="0"/>
    <s v="Male"/>
  </r>
  <r>
    <x v="369"/>
    <x v="1"/>
    <n v="1000"/>
    <n v="30"/>
    <x v="3"/>
    <d v="2016-10-10T00:00:00"/>
    <m/>
    <n v="59"/>
    <s v=" 40 - 80 Days"/>
    <s v="40 - 80 Days"/>
    <x v="16"/>
    <x v="0"/>
    <s v="Mature"/>
    <x v="0"/>
    <s v="High School Or Below"/>
    <x v="0"/>
    <s v="Male"/>
  </r>
  <r>
    <x v="370"/>
    <x v="1"/>
    <n v="800"/>
    <n v="15"/>
    <x v="3"/>
    <s v="9/25/2016"/>
    <m/>
    <n v="74"/>
    <s v=" 40 - 80 Days"/>
    <s v="40 - 80 Days"/>
    <x v="7"/>
    <x v="0"/>
    <s v="Mature"/>
    <x v="0"/>
    <s v="High School Or Below"/>
    <x v="0"/>
    <s v="Male"/>
  </r>
  <r>
    <x v="371"/>
    <x v="1"/>
    <n v="1000"/>
    <n v="30"/>
    <x v="3"/>
    <d v="2016-10-10T00:00:00"/>
    <m/>
    <n v="59"/>
    <s v=" 40 - 80 Days"/>
    <s v="40 - 80 Days"/>
    <x v="31"/>
    <x v="3"/>
    <s v=" Young Adults"/>
    <x v="2"/>
    <s v="College"/>
    <x v="0"/>
    <s v="Male"/>
  </r>
  <r>
    <x v="372"/>
    <x v="1"/>
    <n v="800"/>
    <n v="15"/>
    <x v="3"/>
    <s v="9/25/2016"/>
    <m/>
    <n v="74"/>
    <s v=" 40 - 80 Days"/>
    <s v="40 - 80 Days"/>
    <x v="13"/>
    <x v="3"/>
    <s v=" Young Adults"/>
    <x v="0"/>
    <s v="High School Or Below"/>
    <x v="0"/>
    <s v="Male"/>
  </r>
  <r>
    <x v="373"/>
    <x v="1"/>
    <n v="1000"/>
    <n v="15"/>
    <x v="3"/>
    <s v="9/25/2016"/>
    <m/>
    <n v="74"/>
    <s v=" 40 - 80 Days"/>
    <s v="40 - 80 Days"/>
    <x v="10"/>
    <x v="0"/>
    <s v="Mature"/>
    <x v="0"/>
    <s v="High School Or Below"/>
    <x v="0"/>
    <s v="Male"/>
  </r>
  <r>
    <x v="374"/>
    <x v="1"/>
    <n v="1000"/>
    <n v="30"/>
    <x v="3"/>
    <d v="2016-10-10T00:00:00"/>
    <m/>
    <n v="59"/>
    <s v=" 40 - 80 Days"/>
    <s v="40 - 80 Days"/>
    <x v="6"/>
    <x v="2"/>
    <s v="Middle Aged"/>
    <x v="2"/>
    <s v="College"/>
    <x v="0"/>
    <s v="Male"/>
  </r>
  <r>
    <x v="375"/>
    <x v="1"/>
    <n v="800"/>
    <n v="15"/>
    <x v="3"/>
    <s v="9/25/2016"/>
    <m/>
    <n v="74"/>
    <s v=" 40 - 80 Days"/>
    <s v="40 - 80 Days"/>
    <x v="8"/>
    <x v="2"/>
    <s v="Middle Aged"/>
    <x v="0"/>
    <s v="High School Or Below"/>
    <x v="1"/>
    <s v="Female"/>
  </r>
  <r>
    <x v="376"/>
    <x v="1"/>
    <n v="1000"/>
    <n v="15"/>
    <x v="3"/>
    <s v="9/25/2016"/>
    <m/>
    <n v="74"/>
    <s v=" 40 - 80 Days"/>
    <s v="40 - 80 Days"/>
    <x v="19"/>
    <x v="2"/>
    <s v="Middle Aged"/>
    <x v="2"/>
    <s v="College"/>
    <x v="0"/>
    <s v="Male"/>
  </r>
  <r>
    <x v="377"/>
    <x v="1"/>
    <n v="1000"/>
    <n v="30"/>
    <x v="3"/>
    <d v="2016-10-10T00:00:00"/>
    <m/>
    <n v="59"/>
    <s v=" 40 - 80 Days"/>
    <s v="40 - 80 Days"/>
    <x v="2"/>
    <x v="2"/>
    <s v="Middle Aged"/>
    <x v="2"/>
    <s v="College"/>
    <x v="0"/>
    <s v="Male"/>
  </r>
  <r>
    <x v="378"/>
    <x v="1"/>
    <n v="1000"/>
    <n v="30"/>
    <x v="3"/>
    <d v="2016-10-10T00:00:00"/>
    <m/>
    <n v="59"/>
    <s v=" 40 - 80 Days"/>
    <s v="40 - 80 Days"/>
    <x v="19"/>
    <x v="2"/>
    <s v="Middle Aged"/>
    <x v="2"/>
    <s v="College"/>
    <x v="0"/>
    <s v="Male"/>
  </r>
  <r>
    <x v="379"/>
    <x v="1"/>
    <n v="1000"/>
    <n v="30"/>
    <x v="3"/>
    <d v="2016-10-10T00:00:00"/>
    <m/>
    <n v="59"/>
    <s v=" 40 - 80 Days"/>
    <s v="40 - 80 Days"/>
    <x v="11"/>
    <x v="2"/>
    <s v="Middle Aged"/>
    <x v="2"/>
    <s v="College"/>
    <x v="0"/>
    <s v="Male"/>
  </r>
  <r>
    <x v="380"/>
    <x v="1"/>
    <n v="1000"/>
    <n v="30"/>
    <x v="3"/>
    <d v="2016-10-10T00:00:00"/>
    <m/>
    <n v="59"/>
    <s v=" 40 - 80 Days"/>
    <s v="40 - 80 Days"/>
    <x v="13"/>
    <x v="3"/>
    <s v=" Young Adults"/>
    <x v="0"/>
    <s v="High School Or Below"/>
    <x v="0"/>
    <s v="Male"/>
  </r>
  <r>
    <x v="381"/>
    <x v="1"/>
    <n v="800"/>
    <n v="15"/>
    <x v="3"/>
    <s v="9/25/2016"/>
    <m/>
    <n v="74"/>
    <s v=" 40 - 80 Days"/>
    <s v="40 - 80 Days"/>
    <x v="5"/>
    <x v="0"/>
    <s v="Mature"/>
    <x v="0"/>
    <s v="High School Or Below"/>
    <x v="0"/>
    <s v="Male"/>
  </r>
  <r>
    <x v="382"/>
    <x v="1"/>
    <n v="1000"/>
    <n v="15"/>
    <x v="3"/>
    <s v="9/25/2016"/>
    <m/>
    <n v="74"/>
    <s v=" 40 - 80 Days"/>
    <s v="40 - 80 Days"/>
    <x v="19"/>
    <x v="2"/>
    <s v="Middle Aged"/>
    <x v="1"/>
    <s v="Bachelor"/>
    <x v="0"/>
    <s v="Male"/>
  </r>
  <r>
    <x v="383"/>
    <x v="1"/>
    <n v="1000"/>
    <n v="30"/>
    <x v="3"/>
    <d v="2016-10-10T00:00:00"/>
    <m/>
    <n v="59"/>
    <s v=" 40 - 80 Days"/>
    <s v="40 - 80 Days"/>
    <x v="8"/>
    <x v="2"/>
    <s v="Middle Aged"/>
    <x v="0"/>
    <s v="High School Or Below"/>
    <x v="0"/>
    <s v="Male"/>
  </r>
  <r>
    <x v="384"/>
    <x v="1"/>
    <n v="1000"/>
    <n v="30"/>
    <x v="3"/>
    <d v="2016-10-10T00:00:00"/>
    <m/>
    <n v="59"/>
    <s v=" 40 - 80 Days"/>
    <s v="40 - 80 Days"/>
    <x v="6"/>
    <x v="2"/>
    <s v="Middle Aged"/>
    <x v="0"/>
    <s v="High School Or Below"/>
    <x v="0"/>
    <s v="Male"/>
  </r>
  <r>
    <x v="385"/>
    <x v="1"/>
    <n v="1000"/>
    <n v="30"/>
    <x v="3"/>
    <d v="2016-09-11T00:00:00"/>
    <m/>
    <n v="29"/>
    <s v="1 - 39 Days"/>
    <s v="1 - 39 Days"/>
    <x v="8"/>
    <x v="2"/>
    <s v="Middle Aged"/>
    <x v="0"/>
    <s v="High School Or Below"/>
    <x v="0"/>
    <s v="Male"/>
  </r>
  <r>
    <x v="386"/>
    <x v="1"/>
    <n v="800"/>
    <n v="15"/>
    <x v="3"/>
    <s v="9/25/2016"/>
    <m/>
    <n v="74"/>
    <s v=" 40 - 80 Days"/>
    <s v="40 - 80 Days"/>
    <x v="22"/>
    <x v="0"/>
    <s v="Mature"/>
    <x v="0"/>
    <s v="High School Or Below"/>
    <x v="0"/>
    <s v="Male"/>
  </r>
  <r>
    <x v="387"/>
    <x v="1"/>
    <n v="1000"/>
    <n v="30"/>
    <x v="3"/>
    <d v="2016-10-10T00:00:00"/>
    <m/>
    <n v="59"/>
    <s v=" 40 - 80 Days"/>
    <s v="40 - 80 Days"/>
    <x v="7"/>
    <x v="0"/>
    <s v="Mature"/>
    <x v="0"/>
    <s v="High School Or Below"/>
    <x v="0"/>
    <s v="Male"/>
  </r>
  <r>
    <x v="388"/>
    <x v="1"/>
    <n v="1000"/>
    <n v="15"/>
    <x v="3"/>
    <s v="9/25/2016"/>
    <m/>
    <n v="74"/>
    <s v=" 40 - 80 Days"/>
    <s v="40 - 80 Days"/>
    <x v="23"/>
    <x v="0"/>
    <s v="Mature"/>
    <x v="1"/>
    <s v="Bachelor"/>
    <x v="0"/>
    <s v="Male"/>
  </r>
  <r>
    <x v="389"/>
    <x v="1"/>
    <n v="1000"/>
    <n v="15"/>
    <x v="3"/>
    <s v="10/25/2016"/>
    <m/>
    <n v="44"/>
    <s v=" 40 - 80 Days"/>
    <s v="40 - 80 Days"/>
    <x v="11"/>
    <x v="2"/>
    <s v="Middle Aged"/>
    <x v="0"/>
    <s v="High School Or Below"/>
    <x v="0"/>
    <s v="Male"/>
  </r>
  <r>
    <x v="390"/>
    <x v="1"/>
    <n v="1000"/>
    <n v="15"/>
    <x v="3"/>
    <s v="9/25/2016"/>
    <m/>
    <n v="74"/>
    <s v=" 40 - 80 Days"/>
    <s v="40 - 80 Days"/>
    <x v="19"/>
    <x v="2"/>
    <s v="Middle Aged"/>
    <x v="2"/>
    <s v="College"/>
    <x v="0"/>
    <s v="Male"/>
  </r>
  <r>
    <x v="391"/>
    <x v="1"/>
    <n v="800"/>
    <n v="15"/>
    <x v="3"/>
    <s v="9/25/2016"/>
    <m/>
    <n v="74"/>
    <s v=" 40 - 80 Days"/>
    <s v="40 - 80 Days"/>
    <x v="5"/>
    <x v="0"/>
    <s v="Mature"/>
    <x v="0"/>
    <s v="High School Or Below"/>
    <x v="0"/>
    <s v="Male"/>
  </r>
  <r>
    <x v="392"/>
    <x v="1"/>
    <n v="1000"/>
    <n v="30"/>
    <x v="3"/>
    <d v="2016-10-10T00:00:00"/>
    <m/>
    <n v="59"/>
    <s v=" 40 - 80 Days"/>
    <s v="40 - 80 Days"/>
    <x v="6"/>
    <x v="2"/>
    <s v="Middle Aged"/>
    <x v="2"/>
    <s v="College"/>
    <x v="1"/>
    <s v="Female"/>
  </r>
  <r>
    <x v="393"/>
    <x v="1"/>
    <n v="1000"/>
    <n v="30"/>
    <x v="3"/>
    <d v="2016-09-11T00:00:00"/>
    <m/>
    <n v="29"/>
    <s v="1 - 39 Days"/>
    <s v="1 - 39 Days"/>
    <x v="8"/>
    <x v="2"/>
    <s v="Middle Aged"/>
    <x v="2"/>
    <s v="College"/>
    <x v="0"/>
    <s v="Male"/>
  </r>
  <r>
    <x v="394"/>
    <x v="1"/>
    <n v="800"/>
    <n v="15"/>
    <x v="3"/>
    <s v="9/25/2016"/>
    <m/>
    <n v="74"/>
    <s v=" 40 - 80 Days"/>
    <s v="40 - 80 Days"/>
    <x v="11"/>
    <x v="2"/>
    <s v="Middle Aged"/>
    <x v="0"/>
    <s v="High School Or Below"/>
    <x v="0"/>
    <s v="Male"/>
  </r>
  <r>
    <x v="395"/>
    <x v="1"/>
    <n v="1000"/>
    <n v="30"/>
    <x v="3"/>
    <d v="2016-10-10T00:00:00"/>
    <m/>
    <n v="59"/>
    <s v=" 40 - 80 Days"/>
    <s v="40 - 80 Days"/>
    <x v="13"/>
    <x v="3"/>
    <s v=" Young Adults"/>
    <x v="0"/>
    <s v="High School Or Below"/>
    <x v="0"/>
    <s v="Male"/>
  </r>
  <r>
    <x v="396"/>
    <x v="1"/>
    <n v="1000"/>
    <n v="30"/>
    <x v="4"/>
    <d v="2016-11-10T00:00:00"/>
    <m/>
    <n v="58"/>
    <s v=" 40 - 80 Days"/>
    <s v="40 - 80 Days"/>
    <x v="2"/>
    <x v="2"/>
    <s v="Middle Aged"/>
    <x v="0"/>
    <s v="High School Or Below"/>
    <x v="0"/>
    <s v="Male"/>
  </r>
  <r>
    <x v="397"/>
    <x v="1"/>
    <n v="800"/>
    <n v="15"/>
    <x v="4"/>
    <s v="9/26/2016"/>
    <m/>
    <n v="73"/>
    <s v=" 40 - 80 Days"/>
    <s v="40 - 80 Days"/>
    <x v="9"/>
    <x v="0"/>
    <s v="Mature"/>
    <x v="2"/>
    <s v="College"/>
    <x v="0"/>
    <s v="Male"/>
  </r>
  <r>
    <x v="398"/>
    <x v="1"/>
    <n v="1000"/>
    <n v="30"/>
    <x v="4"/>
    <d v="2016-10-11T00:00:00"/>
    <m/>
    <n v="28"/>
    <s v="1 - 39 Days"/>
    <s v="1 - 39 Days"/>
    <x v="4"/>
    <x v="2"/>
    <s v="Middle Aged"/>
    <x v="2"/>
    <s v="College"/>
    <x v="0"/>
    <s v="Male"/>
  </r>
  <r>
    <x v="399"/>
    <x v="1"/>
    <n v="1000"/>
    <n v="30"/>
    <x v="4"/>
    <d v="2016-11-10T00:00:00"/>
    <m/>
    <n v="58"/>
    <s v=" 40 - 80 Days"/>
    <s v="40 - 80 Days"/>
    <x v="8"/>
    <x v="2"/>
    <s v="Middle Aged"/>
    <x v="2"/>
    <s v="College"/>
    <x v="0"/>
    <s v="Male"/>
  </r>
  <r>
    <x v="400"/>
    <x v="2"/>
    <n v="1000"/>
    <n v="30"/>
    <x v="1"/>
    <d v="2016-08-10T00:00:00"/>
    <d v="2016-10-10T11:45:00"/>
    <n v="2"/>
    <s v="1 - 39 Days"/>
    <s v="1 - 39 Days"/>
    <x v="8"/>
    <x v="2"/>
    <s v="Middle Aged"/>
    <x v="2"/>
    <s v="College"/>
    <x v="0"/>
    <s v="Male"/>
  </r>
  <r>
    <x v="401"/>
    <x v="2"/>
    <n v="1000"/>
    <n v="15"/>
    <x v="1"/>
    <s v="9/23/2016"/>
    <s v="9/27/2016 17:00"/>
    <n v="4"/>
    <s v="1 - 39 Days"/>
    <s v="1 - 39 Days"/>
    <x v="4"/>
    <x v="2"/>
    <s v="Middle Aged"/>
    <x v="2"/>
    <s v="College"/>
    <x v="0"/>
    <s v="Male"/>
  </r>
  <r>
    <x v="402"/>
    <x v="2"/>
    <n v="1000"/>
    <n v="30"/>
    <x v="1"/>
    <d v="2016-07-11T00:00:00"/>
    <s v="11/20/2016 14:10"/>
    <n v="13"/>
    <s v="1 - 39 Days"/>
    <s v="1 - 39 Days"/>
    <x v="9"/>
    <x v="0"/>
    <s v="Mature"/>
    <x v="2"/>
    <s v="College"/>
    <x v="0"/>
    <s v="Male"/>
  </r>
  <r>
    <x v="403"/>
    <x v="2"/>
    <n v="1000"/>
    <n v="15"/>
    <x v="1"/>
    <s v="9/23/2016"/>
    <s v="9/28/2016 15:38"/>
    <n v="5"/>
    <s v="1 - 39 Days"/>
    <s v="1 - 39 Days"/>
    <x v="6"/>
    <x v="2"/>
    <s v="Middle Aged"/>
    <x v="1"/>
    <s v="Bachelor"/>
    <x v="0"/>
    <s v="Male"/>
  </r>
  <r>
    <x v="404"/>
    <x v="2"/>
    <n v="800"/>
    <n v="15"/>
    <x v="1"/>
    <s v="9/23/2016"/>
    <s v="9/26/2016 17:22"/>
    <n v="3"/>
    <s v="1 - 39 Days"/>
    <s v="1 - 39 Days"/>
    <x v="2"/>
    <x v="2"/>
    <s v="Middle Aged"/>
    <x v="0"/>
    <s v="High School Or Below"/>
    <x v="0"/>
    <s v="Male"/>
  </r>
  <r>
    <x v="405"/>
    <x v="2"/>
    <n v="1000"/>
    <n v="30"/>
    <x v="2"/>
    <d v="2016-09-10T00:00:00"/>
    <s v="10/21/2016 14:00"/>
    <n v="12"/>
    <s v="1 - 39 Days"/>
    <s v="1 - 39 Days"/>
    <x v="3"/>
    <x v="2"/>
    <s v="Middle Aged"/>
    <x v="2"/>
    <s v="College"/>
    <x v="0"/>
    <s v="Male"/>
  </r>
  <r>
    <x v="406"/>
    <x v="2"/>
    <n v="800"/>
    <n v="15"/>
    <x v="2"/>
    <s v="9/24/2016"/>
    <s v="9/26/2016 11:03"/>
    <n v="2"/>
    <s v="1 - 39 Days"/>
    <s v="1 - 39 Days"/>
    <x v="14"/>
    <x v="0"/>
    <s v="Mature"/>
    <x v="2"/>
    <s v="College"/>
    <x v="0"/>
    <s v="Male"/>
  </r>
  <r>
    <x v="407"/>
    <x v="2"/>
    <n v="1000"/>
    <n v="30"/>
    <x v="2"/>
    <d v="2016-09-10T00:00:00"/>
    <d v="2016-05-11T15:39:00"/>
    <n v="27"/>
    <s v="1 - 39 Days"/>
    <s v="1 - 39 Days"/>
    <x v="8"/>
    <x v="2"/>
    <s v="Middle Aged"/>
    <x v="0"/>
    <s v="High School Or Below"/>
    <x v="0"/>
    <s v="Male"/>
  </r>
  <r>
    <x v="408"/>
    <x v="2"/>
    <n v="1000"/>
    <n v="30"/>
    <x v="2"/>
    <d v="2016-09-10T00:00:00"/>
    <s v="11/22/2016 15:53"/>
    <n v="44"/>
    <s v=" 40 - 80 Days"/>
    <s v="40 - 80 Days"/>
    <x v="4"/>
    <x v="2"/>
    <s v="Middle Aged"/>
    <x v="0"/>
    <s v="High School Or Below"/>
    <x v="0"/>
    <s v="Male"/>
  </r>
  <r>
    <x v="409"/>
    <x v="2"/>
    <n v="1000"/>
    <n v="15"/>
    <x v="2"/>
    <s v="9/24/2016"/>
    <s v="9/29/2016 10:30"/>
    <n v="5"/>
    <s v="1 - 39 Days"/>
    <s v="1 - 39 Days"/>
    <x v="11"/>
    <x v="2"/>
    <s v="Middle Aged"/>
    <x v="1"/>
    <s v="Bachelor"/>
    <x v="0"/>
    <s v="Male"/>
  </r>
  <r>
    <x v="410"/>
    <x v="2"/>
    <n v="800"/>
    <n v="15"/>
    <x v="2"/>
    <d v="2016-09-10T00:00:00"/>
    <d v="2016-10-10T15:18:00"/>
    <n v="1"/>
    <s v="1 - 39 Days"/>
    <s v="1 - 39 Days"/>
    <x v="3"/>
    <x v="2"/>
    <s v="Middle Aged"/>
    <x v="2"/>
    <s v="College"/>
    <x v="1"/>
    <s v="Female"/>
  </r>
  <r>
    <x v="411"/>
    <x v="2"/>
    <n v="1000"/>
    <n v="30"/>
    <x v="2"/>
    <d v="2016-09-10T00:00:00"/>
    <d v="2016-05-11T10:49:00"/>
    <n v="27"/>
    <s v="1 - 39 Days"/>
    <s v="1 - 39 Days"/>
    <x v="18"/>
    <x v="3"/>
    <s v=" Young Adults"/>
    <x v="2"/>
    <s v="College"/>
    <x v="0"/>
    <s v="Male"/>
  </r>
  <r>
    <x v="412"/>
    <x v="2"/>
    <n v="800"/>
    <n v="15"/>
    <x v="3"/>
    <s v="9/25/2016"/>
    <s v="9/27/2016 17:10"/>
    <n v="2"/>
    <s v="1 - 39 Days"/>
    <s v="1 - 39 Days"/>
    <x v="9"/>
    <x v="0"/>
    <s v="Mature"/>
    <x v="2"/>
    <s v="College"/>
    <x v="0"/>
    <s v="Male"/>
  </r>
  <r>
    <x v="413"/>
    <x v="2"/>
    <n v="1000"/>
    <n v="15"/>
    <x v="3"/>
    <s v="9/25/2016"/>
    <s v="9/26/2016 11:35"/>
    <n v="1"/>
    <s v="1 - 39 Days"/>
    <s v="1 - 39 Days"/>
    <x v="23"/>
    <x v="0"/>
    <s v="Mature"/>
    <x v="2"/>
    <s v="College"/>
    <x v="0"/>
    <s v="Male"/>
  </r>
  <r>
    <x v="414"/>
    <x v="2"/>
    <n v="1000"/>
    <n v="30"/>
    <x v="3"/>
    <d v="2016-10-10T00:00:00"/>
    <d v="2016-12-10T09:59:00"/>
    <n v="2"/>
    <s v="1 - 39 Days"/>
    <s v="1 - 39 Days"/>
    <x v="7"/>
    <x v="0"/>
    <s v="Mature"/>
    <x v="0"/>
    <s v="High School Or Below"/>
    <x v="1"/>
    <s v="Female"/>
  </r>
  <r>
    <x v="415"/>
    <x v="2"/>
    <n v="800"/>
    <n v="15"/>
    <x v="3"/>
    <s v="9/25/2016"/>
    <s v="9/27/2016 17:14"/>
    <n v="2"/>
    <s v="1 - 39 Days"/>
    <s v="1 - 39 Days"/>
    <x v="2"/>
    <x v="2"/>
    <s v="Middle Aged"/>
    <x v="2"/>
    <s v="College"/>
    <x v="0"/>
    <s v="Male"/>
  </r>
  <r>
    <x v="416"/>
    <x v="2"/>
    <n v="1000"/>
    <n v="30"/>
    <x v="3"/>
    <d v="2016-10-10T00:00:00"/>
    <d v="2016-11-10T12:45:00"/>
    <n v="1"/>
    <s v="1 - 39 Days"/>
    <s v="1 - 39 Days"/>
    <x v="18"/>
    <x v="3"/>
    <s v=" Young Adults"/>
    <x v="2"/>
    <s v="College"/>
    <x v="1"/>
    <s v="Female"/>
  </r>
  <r>
    <x v="417"/>
    <x v="2"/>
    <n v="800"/>
    <n v="15"/>
    <x v="3"/>
    <s v="9/25/2016"/>
    <s v="9/28/2016 11:38"/>
    <n v="3"/>
    <s v="1 - 39 Days"/>
    <s v="1 - 39 Days"/>
    <x v="13"/>
    <x v="3"/>
    <s v=" Young Adults"/>
    <x v="0"/>
    <s v="High School Or Below"/>
    <x v="0"/>
    <s v="Male"/>
  </r>
  <r>
    <x v="418"/>
    <x v="2"/>
    <n v="800"/>
    <n v="15"/>
    <x v="3"/>
    <s v="9/25/2016"/>
    <d v="2016-07-10T13:21:00"/>
    <n v="12"/>
    <s v="1 - 39 Days"/>
    <s v="1 - 39 Days"/>
    <x v="6"/>
    <x v="2"/>
    <s v="Middle Aged"/>
    <x v="2"/>
    <s v="College"/>
    <x v="0"/>
    <s v="Male"/>
  </r>
  <r>
    <x v="419"/>
    <x v="2"/>
    <n v="1000"/>
    <n v="30"/>
    <x v="3"/>
    <d v="2016-10-10T00:00:00"/>
    <d v="2016-04-11T15:37:00"/>
    <n v="25"/>
    <s v="1 - 39 Days"/>
    <s v="1 - 39 Days"/>
    <x v="2"/>
    <x v="2"/>
    <s v="Middle Aged"/>
    <x v="0"/>
    <s v="High School Or Below"/>
    <x v="0"/>
    <s v="Male"/>
  </r>
  <r>
    <x v="420"/>
    <x v="2"/>
    <n v="1000"/>
    <n v="15"/>
    <x v="3"/>
    <s v="9/25/2016"/>
    <s v="9/28/2016 17:39"/>
    <n v="3"/>
    <s v="1 - 39 Days"/>
    <s v="1 - 39 Days"/>
    <x v="26"/>
    <x v="0"/>
    <s v="Mature"/>
    <x v="0"/>
    <s v="High School Or Below"/>
    <x v="1"/>
    <s v="Female"/>
  </r>
  <r>
    <x v="421"/>
    <x v="2"/>
    <n v="1000"/>
    <n v="30"/>
    <x v="3"/>
    <d v="2016-10-10T00:00:00"/>
    <d v="2016-12-10T09:52:00"/>
    <n v="2"/>
    <s v="1 - 39 Days"/>
    <s v="1 - 39 Days"/>
    <x v="2"/>
    <x v="2"/>
    <s v="Middle Aged"/>
    <x v="2"/>
    <s v="College"/>
    <x v="0"/>
    <s v="Male"/>
  </r>
  <r>
    <x v="422"/>
    <x v="2"/>
    <n v="800"/>
    <n v="15"/>
    <x v="3"/>
    <s v="9/25/2016"/>
    <s v="9/29/2016 15:12"/>
    <n v="4"/>
    <s v="1 - 39 Days"/>
    <s v="1 - 39 Days"/>
    <x v="24"/>
    <x v="3"/>
    <s v=" Young Adults"/>
    <x v="0"/>
    <s v="High School Or Below"/>
    <x v="0"/>
    <s v="Male"/>
  </r>
  <r>
    <x v="423"/>
    <x v="2"/>
    <n v="1000"/>
    <n v="15"/>
    <x v="3"/>
    <d v="2016-10-10T00:00:00"/>
    <d v="2016-12-10T11:17:00"/>
    <n v="2"/>
    <s v="1 - 39 Days"/>
    <s v="1 - 39 Days"/>
    <x v="17"/>
    <x v="3"/>
    <s v=" Young Adults"/>
    <x v="2"/>
    <s v="College"/>
    <x v="0"/>
    <s v="Male"/>
  </r>
  <r>
    <x v="424"/>
    <x v="2"/>
    <n v="1000"/>
    <n v="30"/>
    <x v="3"/>
    <d v="2016-09-11T00:00:00"/>
    <d v="2016-10-11T22:58:00"/>
    <n v="1"/>
    <s v="1 - 39 Days"/>
    <s v="1 - 39 Days"/>
    <x v="3"/>
    <x v="2"/>
    <s v="Middle Aged"/>
    <x v="0"/>
    <s v="High School Or Below"/>
    <x v="0"/>
    <s v="Male"/>
  </r>
  <r>
    <x v="425"/>
    <x v="2"/>
    <n v="1000"/>
    <n v="30"/>
    <x v="3"/>
    <d v="2016-10-10T00:00:00"/>
    <d v="2016-03-11T15:23:00"/>
    <n v="24"/>
    <s v="1 - 39 Days"/>
    <s v="1 - 39 Days"/>
    <x v="11"/>
    <x v="2"/>
    <s v="Middle Aged"/>
    <x v="1"/>
    <s v="Bachelor"/>
    <x v="0"/>
    <s v="Male"/>
  </r>
  <r>
    <x v="426"/>
    <x v="2"/>
    <n v="1000"/>
    <n v="30"/>
    <x v="3"/>
    <d v="2016-10-10T00:00:00"/>
    <d v="2016-11-10T16:44:00"/>
    <n v="1"/>
    <s v="1 - 39 Days"/>
    <s v="1 - 39 Days"/>
    <x v="2"/>
    <x v="2"/>
    <s v="Middle Aged"/>
    <x v="2"/>
    <s v="College"/>
    <x v="0"/>
    <s v="Male"/>
  </r>
  <r>
    <x v="427"/>
    <x v="2"/>
    <n v="1000"/>
    <n v="30"/>
    <x v="3"/>
    <d v="2016-10-10T00:00:00"/>
    <d v="2016-11-10T11:02:00"/>
    <n v="2"/>
    <s v="1 - 39 Days"/>
    <s v="1 - 39 Days"/>
    <x v="3"/>
    <x v="2"/>
    <s v="Middle Aged"/>
    <x v="2"/>
    <s v="College"/>
    <x v="1"/>
    <s v="Female"/>
  </r>
  <r>
    <x v="428"/>
    <x v="2"/>
    <n v="1000"/>
    <n v="30"/>
    <x v="3"/>
    <d v="2016-10-10T00:00:00"/>
    <d v="2016-12-10T13:17:00"/>
    <n v="2"/>
    <s v="1 - 39 Days"/>
    <s v="1 - 39 Days"/>
    <x v="5"/>
    <x v="0"/>
    <s v="Mature"/>
    <x v="0"/>
    <s v="High School Or Below"/>
    <x v="0"/>
    <s v="Male"/>
  </r>
  <r>
    <x v="429"/>
    <x v="2"/>
    <n v="500"/>
    <n v="15"/>
    <x v="3"/>
    <d v="2016-10-10T00:00:00"/>
    <d v="2016-11-10T17:22:00"/>
    <n v="1"/>
    <s v="1 - 39 Days"/>
    <s v="1 - 39 Days"/>
    <x v="16"/>
    <x v="0"/>
    <s v="Mature"/>
    <x v="1"/>
    <s v="Bachelor"/>
    <x v="0"/>
    <s v="Male"/>
  </r>
  <r>
    <x v="430"/>
    <x v="2"/>
    <n v="800"/>
    <n v="15"/>
    <x v="3"/>
    <s v="9/25/2016"/>
    <s v="9/28/2016 14:02"/>
    <n v="3"/>
    <s v="1 - 39 Days"/>
    <s v="1 - 39 Days"/>
    <x v="4"/>
    <x v="2"/>
    <s v="Middle Aged"/>
    <x v="1"/>
    <s v="Bachelor"/>
    <x v="0"/>
    <s v="Male"/>
  </r>
  <r>
    <x v="431"/>
    <x v="2"/>
    <n v="1000"/>
    <n v="15"/>
    <x v="3"/>
    <s v="9/25/2016"/>
    <s v="9/29/2016 13:42"/>
    <n v="4"/>
    <s v="1 - 39 Days"/>
    <s v="1 - 39 Days"/>
    <x v="2"/>
    <x v="2"/>
    <s v="Middle Aged"/>
    <x v="2"/>
    <s v="College"/>
    <x v="0"/>
    <s v="Male"/>
  </r>
  <r>
    <x v="432"/>
    <x v="2"/>
    <n v="800"/>
    <n v="7"/>
    <x v="3"/>
    <s v="9/17/2016"/>
    <s v="9/19/2016 15:00"/>
    <n v="2"/>
    <s v="1 - 39 Days"/>
    <s v="1 - 39 Days"/>
    <x v="14"/>
    <x v="0"/>
    <s v="Mature"/>
    <x v="1"/>
    <s v="Bachelor"/>
    <x v="1"/>
    <s v="Female"/>
  </r>
  <r>
    <x v="433"/>
    <x v="2"/>
    <n v="1000"/>
    <n v="30"/>
    <x v="3"/>
    <d v="2016-10-10T00:00:00"/>
    <d v="2016-12-10T14:32:00"/>
    <n v="2"/>
    <s v="1 - 39 Days"/>
    <s v="1 - 39 Days"/>
    <x v="6"/>
    <x v="2"/>
    <s v="Middle Aged"/>
    <x v="2"/>
    <s v="College"/>
    <x v="0"/>
    <s v="Male"/>
  </r>
  <r>
    <x v="434"/>
    <x v="2"/>
    <n v="1000"/>
    <n v="30"/>
    <x v="3"/>
    <d v="2016-10-10T00:00:00"/>
    <d v="2016-11-10T11:33:00"/>
    <n v="1"/>
    <s v="1 - 39 Days"/>
    <s v="1 - 39 Days"/>
    <x v="14"/>
    <x v="0"/>
    <s v="Mature"/>
    <x v="1"/>
    <s v="Bachelor"/>
    <x v="0"/>
    <s v="Male"/>
  </r>
  <r>
    <x v="435"/>
    <x v="2"/>
    <n v="1000"/>
    <n v="30"/>
    <x v="3"/>
    <d v="2016-10-10T00:00:00"/>
    <d v="2016-11-10T16:27:00"/>
    <n v="1"/>
    <s v="1 - 39 Days"/>
    <s v="1 - 39 Days"/>
    <x v="6"/>
    <x v="2"/>
    <s v="Middle Aged"/>
    <x v="1"/>
    <s v="Bachelor"/>
    <x v="0"/>
    <s v="Male"/>
  </r>
  <r>
    <x v="436"/>
    <x v="2"/>
    <n v="1000"/>
    <n v="30"/>
    <x v="3"/>
    <d v="2016-10-10T00:00:00"/>
    <s v="11/15/2016 15:27"/>
    <n v="36"/>
    <s v="1 - 39 Days"/>
    <s v="1 - 39 Days"/>
    <x v="17"/>
    <x v="3"/>
    <s v=" Young Adults"/>
    <x v="0"/>
    <s v="High School Or Below"/>
    <x v="0"/>
    <s v="Male"/>
  </r>
  <r>
    <x v="437"/>
    <x v="2"/>
    <n v="1000"/>
    <n v="30"/>
    <x v="3"/>
    <d v="2016-10-10T00:00:00"/>
    <d v="2016-11-10T16:13:00"/>
    <n v="1"/>
    <s v="1 - 39 Days"/>
    <s v="1 - 39 Days"/>
    <x v="14"/>
    <x v="0"/>
    <s v="Mature"/>
    <x v="0"/>
    <s v="High School Or Below"/>
    <x v="0"/>
    <s v="Male"/>
  </r>
  <r>
    <x v="438"/>
    <x v="2"/>
    <n v="1000"/>
    <n v="30"/>
    <x v="3"/>
    <d v="2016-10-10T00:00:00"/>
    <s v="10/17/2016 10:06"/>
    <n v="7"/>
    <s v="1 - 39 Days"/>
    <s v="1 - 39 Days"/>
    <x v="13"/>
    <x v="3"/>
    <s v=" Young Adults"/>
    <x v="2"/>
    <s v="College"/>
    <x v="1"/>
    <s v="Female"/>
  </r>
  <r>
    <x v="439"/>
    <x v="2"/>
    <n v="1000"/>
    <n v="30"/>
    <x v="3"/>
    <d v="2016-09-11T00:00:00"/>
    <s v="11/14/2016 13:15"/>
    <n v="5"/>
    <s v="1 - 39 Days"/>
    <s v="1 - 39 Days"/>
    <x v="17"/>
    <x v="3"/>
    <s v=" Young Adults"/>
    <x v="2"/>
    <s v="College"/>
    <x v="0"/>
    <s v="Male"/>
  </r>
  <r>
    <x v="440"/>
    <x v="2"/>
    <n v="1000"/>
    <n v="30"/>
    <x v="3"/>
    <d v="2016-10-10T00:00:00"/>
    <s v="10/24/2016 16:20"/>
    <n v="14"/>
    <s v="1 - 39 Days"/>
    <s v="1 - 39 Days"/>
    <x v="19"/>
    <x v="2"/>
    <s v="Middle Aged"/>
    <x v="2"/>
    <s v="College"/>
    <x v="0"/>
    <s v="Male"/>
  </r>
  <r>
    <x v="441"/>
    <x v="2"/>
    <n v="1000"/>
    <n v="15"/>
    <x v="3"/>
    <s v="9/25/2016"/>
    <s v="9/27/2016 16:35"/>
    <n v="2"/>
    <s v="1 - 39 Days"/>
    <s v="1 - 39 Days"/>
    <x v="4"/>
    <x v="2"/>
    <s v="Middle Aged"/>
    <x v="2"/>
    <s v="College"/>
    <x v="0"/>
    <s v="Male"/>
  </r>
  <r>
    <x v="442"/>
    <x v="2"/>
    <n v="1000"/>
    <n v="30"/>
    <x v="3"/>
    <d v="2016-10-10T00:00:00"/>
    <d v="2016-11-10T11:48:00"/>
    <n v="1"/>
    <s v="1 - 39 Days"/>
    <s v="1 - 39 Days"/>
    <x v="17"/>
    <x v="3"/>
    <s v=" Young Adults"/>
    <x v="0"/>
    <s v="High School Or Below"/>
    <x v="0"/>
    <s v="Male"/>
  </r>
  <r>
    <x v="443"/>
    <x v="2"/>
    <n v="1000"/>
    <n v="30"/>
    <x v="3"/>
    <d v="2016-10-10T00:00:00"/>
    <d v="2016-07-11T19:21:00"/>
    <n v="28"/>
    <s v="1 - 39 Days"/>
    <s v="1 - 39 Days"/>
    <x v="8"/>
    <x v="2"/>
    <s v="Middle Aged"/>
    <x v="2"/>
    <s v="College"/>
    <x v="1"/>
    <s v="Female"/>
  </r>
  <r>
    <x v="444"/>
    <x v="2"/>
    <n v="1000"/>
    <n v="30"/>
    <x v="3"/>
    <d v="2016-10-10T00:00:00"/>
    <d v="2016-12-10T16:22:00"/>
    <n v="2"/>
    <s v="1 - 39 Days"/>
    <s v="1 - 39 Days"/>
    <x v="17"/>
    <x v="3"/>
    <s v=" Young Adults"/>
    <x v="0"/>
    <s v="High School Or Below"/>
    <x v="0"/>
    <s v="Male"/>
  </r>
  <r>
    <x v="445"/>
    <x v="2"/>
    <n v="1000"/>
    <n v="15"/>
    <x v="3"/>
    <s v="9/25/2016"/>
    <s v="9/27/2016 17:24"/>
    <n v="2"/>
    <s v="1 - 39 Days"/>
    <s v="1 - 39 Days"/>
    <x v="6"/>
    <x v="2"/>
    <s v="Middle Aged"/>
    <x v="2"/>
    <s v="College"/>
    <x v="0"/>
    <s v="Male"/>
  </r>
  <r>
    <x v="446"/>
    <x v="2"/>
    <n v="1000"/>
    <n v="30"/>
    <x v="3"/>
    <d v="2016-10-10T00:00:00"/>
    <d v="2016-04-11T11:07:00"/>
    <n v="25"/>
    <s v="1 - 39 Days"/>
    <s v="1 - 39 Days"/>
    <x v="15"/>
    <x v="2"/>
    <s v="Middle Aged"/>
    <x v="2"/>
    <s v="College"/>
    <x v="0"/>
    <s v="Male"/>
  </r>
  <r>
    <x v="447"/>
    <x v="2"/>
    <n v="1000"/>
    <n v="30"/>
    <x v="3"/>
    <d v="2016-10-10T00:00:00"/>
    <d v="2016-02-11T09:39:00"/>
    <n v="23"/>
    <s v="1 - 39 Days"/>
    <s v="1 - 39 Days"/>
    <x v="8"/>
    <x v="2"/>
    <s v="Middle Aged"/>
    <x v="2"/>
    <s v="College"/>
    <x v="0"/>
    <s v="Male"/>
  </r>
  <r>
    <x v="448"/>
    <x v="2"/>
    <n v="1000"/>
    <n v="30"/>
    <x v="3"/>
    <d v="2016-10-10T00:00:00"/>
    <s v="10/13/2016 18:18"/>
    <n v="3"/>
    <s v="1 - 39 Days"/>
    <s v="1 - 39 Days"/>
    <x v="13"/>
    <x v="3"/>
    <s v=" Young Adults"/>
    <x v="0"/>
    <s v="High School Or Below"/>
    <x v="0"/>
    <s v="Male"/>
  </r>
  <r>
    <x v="449"/>
    <x v="2"/>
    <n v="1000"/>
    <n v="30"/>
    <x v="3"/>
    <d v="2016-10-10T00:00:00"/>
    <d v="2016-11-10T11:29:00"/>
    <n v="1"/>
    <s v="1 - 39 Days"/>
    <s v="1 - 39 Days"/>
    <x v="6"/>
    <x v="2"/>
    <s v="Middle Aged"/>
    <x v="2"/>
    <s v="College"/>
    <x v="0"/>
    <s v="Male"/>
  </r>
  <r>
    <x v="450"/>
    <x v="2"/>
    <n v="1000"/>
    <n v="30"/>
    <x v="3"/>
    <d v="2016-10-10T00:00:00"/>
    <s v="10/13/2016 16:27"/>
    <n v="3"/>
    <s v="1 - 39 Days"/>
    <s v="1 - 39 Days"/>
    <x v="23"/>
    <x v="0"/>
    <s v="Mature"/>
    <x v="2"/>
    <s v="College"/>
    <x v="0"/>
    <s v="Male"/>
  </r>
  <r>
    <x v="451"/>
    <x v="2"/>
    <n v="800"/>
    <n v="15"/>
    <x v="3"/>
    <s v="9/25/2016"/>
    <s v="9/29/2016 11:19"/>
    <n v="4"/>
    <s v="1 - 39 Days"/>
    <s v="1 - 39 Days"/>
    <x v="30"/>
    <x v="0"/>
    <s v="Mature"/>
    <x v="2"/>
    <s v="College"/>
    <x v="0"/>
    <s v="Male"/>
  </r>
  <r>
    <x v="452"/>
    <x v="2"/>
    <n v="1000"/>
    <n v="15"/>
    <x v="3"/>
    <s v="9/25/2016"/>
    <s v="9/28/2016 11:17"/>
    <n v="3"/>
    <s v="1 - 39 Days"/>
    <s v="1 - 39 Days"/>
    <x v="8"/>
    <x v="2"/>
    <s v="Middle Aged"/>
    <x v="0"/>
    <s v="High School Or Below"/>
    <x v="0"/>
    <s v="Male"/>
  </r>
  <r>
    <x v="453"/>
    <x v="2"/>
    <n v="1000"/>
    <n v="30"/>
    <x v="4"/>
    <d v="2016-11-10T00:00:00"/>
    <s v="10/14/2016 11:04"/>
    <n v="3"/>
    <s v="1 - 39 Days"/>
    <s v="1 - 39 Days"/>
    <x v="8"/>
    <x v="2"/>
    <s v="Middle Aged"/>
    <x v="0"/>
    <s v="High School Or Below"/>
    <x v="0"/>
    <s v="Male"/>
  </r>
  <r>
    <x v="454"/>
    <x v="2"/>
    <n v="1000"/>
    <n v="30"/>
    <x v="4"/>
    <d v="2016-11-10T00:00:00"/>
    <s v="10/17/2016 17:40"/>
    <n v="6"/>
    <s v="1 - 39 Days"/>
    <s v="1 - 39 Days"/>
    <x v="5"/>
    <x v="0"/>
    <s v="Mature"/>
    <x v="0"/>
    <s v="High School Or Below"/>
    <x v="0"/>
    <s v="Male"/>
  </r>
  <r>
    <x v="455"/>
    <x v="2"/>
    <n v="1000"/>
    <n v="15"/>
    <x v="4"/>
    <s v="9/26/2016"/>
    <s v="9/28/2016 9:42"/>
    <n v="2"/>
    <s v="1 - 39 Days"/>
    <s v="1 - 39 Days"/>
    <x v="16"/>
    <x v="0"/>
    <s v="Mature"/>
    <x v="2"/>
    <s v="College"/>
    <x v="0"/>
    <s v="Male"/>
  </r>
  <r>
    <x v="456"/>
    <x v="2"/>
    <n v="1000"/>
    <n v="30"/>
    <x v="4"/>
    <d v="2016-11-10T00:00:00"/>
    <s v="11/18/2016 15:52"/>
    <n v="38"/>
    <s v="1 - 39 Days"/>
    <s v="1 - 39 Days"/>
    <x v="13"/>
    <x v="3"/>
    <s v=" Young Adults"/>
    <x v="2"/>
    <s v="College"/>
    <x v="0"/>
    <s v="Male"/>
  </r>
  <r>
    <x v="457"/>
    <x v="2"/>
    <n v="1000"/>
    <n v="30"/>
    <x v="4"/>
    <d v="2016-11-10T00:00:00"/>
    <s v="10/30/2016 14:19"/>
    <n v="19"/>
    <s v="1 - 39 Days"/>
    <s v="1 - 39 Days"/>
    <x v="17"/>
    <x v="3"/>
    <s v=" Young Adults"/>
    <x v="2"/>
    <s v="College"/>
    <x v="0"/>
    <s v="Male"/>
  </r>
  <r>
    <x v="458"/>
    <x v="2"/>
    <n v="1000"/>
    <n v="30"/>
    <x v="4"/>
    <d v="2016-11-10T00:00:00"/>
    <s v="10/13/2016 15:10"/>
    <n v="2"/>
    <s v="1 - 39 Days"/>
    <s v="1 - 39 Days"/>
    <x v="14"/>
    <x v="0"/>
    <s v="Mature"/>
    <x v="2"/>
    <s v="College"/>
    <x v="0"/>
    <s v="Male"/>
  </r>
  <r>
    <x v="459"/>
    <x v="2"/>
    <n v="800"/>
    <n v="15"/>
    <x v="4"/>
    <s v="9/26/2016"/>
    <s v="9/28/2016 13:36"/>
    <n v="2"/>
    <s v="1 - 39 Days"/>
    <s v="1 - 39 Days"/>
    <x v="2"/>
    <x v="2"/>
    <s v="Middle Aged"/>
    <x v="2"/>
    <s v="College"/>
    <x v="0"/>
    <s v="Male"/>
  </r>
  <r>
    <x v="460"/>
    <x v="2"/>
    <n v="800"/>
    <n v="15"/>
    <x v="4"/>
    <s v="9/26/2016"/>
    <s v="9/28/2016 15:34"/>
    <n v="2"/>
    <s v="1 - 39 Days"/>
    <s v="1 - 39 Days"/>
    <x v="23"/>
    <x v="0"/>
    <s v="Mature"/>
    <x v="1"/>
    <s v="Bachelor"/>
    <x v="0"/>
    <s v="Male"/>
  </r>
  <r>
    <x v="461"/>
    <x v="2"/>
    <n v="1000"/>
    <n v="30"/>
    <x v="4"/>
    <d v="2016-10-11T00:00:00"/>
    <s v="11/17/2016 11:55"/>
    <n v="7"/>
    <s v="1 - 39 Days"/>
    <s v="1 - 39 Days"/>
    <x v="23"/>
    <x v="0"/>
    <s v="Mature"/>
    <x v="0"/>
    <s v="High School Or Below"/>
    <x v="0"/>
    <s v="Male"/>
  </r>
  <r>
    <x v="462"/>
    <x v="2"/>
    <n v="1000"/>
    <n v="30"/>
    <x v="4"/>
    <d v="2016-10-11T00:00:00"/>
    <s v="11/15/2016 18:51"/>
    <n v="5"/>
    <s v="1 - 39 Days"/>
    <s v="1 - 39 Days"/>
    <x v="8"/>
    <x v="2"/>
    <s v="Middle Aged"/>
    <x v="2"/>
    <s v="College"/>
    <x v="0"/>
    <s v="Male"/>
  </r>
  <r>
    <x v="463"/>
    <x v="2"/>
    <n v="1000"/>
    <n v="15"/>
    <x v="4"/>
    <s v="9/26/2016"/>
    <s v="9/30/2016 10:23"/>
    <n v="4"/>
    <s v="1 - 39 Days"/>
    <s v="1 - 39 Days"/>
    <x v="16"/>
    <x v="0"/>
    <s v="Mature"/>
    <x v="1"/>
    <s v="Bachelor"/>
    <x v="0"/>
    <s v="Male"/>
  </r>
  <r>
    <x v="464"/>
    <x v="2"/>
    <n v="1000"/>
    <n v="30"/>
    <x v="4"/>
    <d v="2016-10-11T00:00:00"/>
    <d v="2016-11-11T17:17:00"/>
    <n v="1"/>
    <s v="1 - 39 Days"/>
    <s v="1 - 39 Days"/>
    <x v="27"/>
    <x v="0"/>
    <s v="Mature"/>
    <x v="0"/>
    <s v="High School Or Below"/>
    <x v="1"/>
    <s v="Female"/>
  </r>
  <r>
    <x v="465"/>
    <x v="2"/>
    <n v="1000"/>
    <n v="30"/>
    <x v="4"/>
    <d v="2016-11-10T00:00:00"/>
    <d v="2016-12-10T12:54:00"/>
    <n v="1"/>
    <s v="1 - 39 Days"/>
    <s v="1 - 39 Days"/>
    <x v="32"/>
    <x v="0"/>
    <s v="Mature"/>
    <x v="0"/>
    <s v="High School Or Below"/>
    <x v="1"/>
    <s v="Female"/>
  </r>
  <r>
    <x v="466"/>
    <x v="2"/>
    <n v="1000"/>
    <n v="30"/>
    <x v="4"/>
    <d v="2016-11-10T00:00:00"/>
    <s v="10/15/2016 9:48"/>
    <n v="4"/>
    <s v="1 - 39 Days"/>
    <s v="1 - 39 Days"/>
    <x v="8"/>
    <x v="2"/>
    <s v="Middle Aged"/>
    <x v="0"/>
    <s v="High School Or Below"/>
    <x v="0"/>
    <s v="Male"/>
  </r>
  <r>
    <x v="467"/>
    <x v="2"/>
    <n v="1000"/>
    <n v="15"/>
    <x v="4"/>
    <s v="10/26/2016"/>
    <s v="10/27/2016 11:14"/>
    <n v="1"/>
    <s v="1 - 39 Days"/>
    <s v="1 - 39 Days"/>
    <x v="30"/>
    <x v="0"/>
    <s v="Mature"/>
    <x v="0"/>
    <s v="High School Or Below"/>
    <x v="0"/>
    <s v="Male"/>
  </r>
  <r>
    <x v="468"/>
    <x v="2"/>
    <n v="1000"/>
    <n v="30"/>
    <x v="4"/>
    <d v="2016-11-10T00:00:00"/>
    <s v="10/15/2016 14:14"/>
    <n v="4"/>
    <s v="1 - 39 Days"/>
    <s v="1 - 39 Days"/>
    <x v="23"/>
    <x v="0"/>
    <s v="Mature"/>
    <x v="0"/>
    <s v="High School Or Below"/>
    <x v="0"/>
    <s v="Male"/>
  </r>
  <r>
    <x v="469"/>
    <x v="2"/>
    <n v="1000"/>
    <n v="30"/>
    <x v="4"/>
    <d v="2016-11-10T00:00:00"/>
    <d v="2016-02-12T09:45:00"/>
    <n v="52"/>
    <s v=" 40 - 80 Days"/>
    <s v="40 - 80 Days"/>
    <x v="8"/>
    <x v="2"/>
    <s v="Middle Aged"/>
    <x v="0"/>
    <s v="High School Or Below"/>
    <x v="0"/>
    <s v="Male"/>
  </r>
  <r>
    <x v="470"/>
    <x v="2"/>
    <n v="1000"/>
    <n v="15"/>
    <x v="4"/>
    <s v="9/26/2016"/>
    <s v="9/28/2016 15:02"/>
    <n v="2"/>
    <s v="1 - 39 Days"/>
    <s v="1 - 39 Days"/>
    <x v="11"/>
    <x v="2"/>
    <s v="Middle Aged"/>
    <x v="0"/>
    <s v="High School Or Below"/>
    <x v="0"/>
    <s v="Male"/>
  </r>
  <r>
    <x v="471"/>
    <x v="2"/>
    <n v="1000"/>
    <n v="30"/>
    <x v="4"/>
    <d v="2016-11-10T00:00:00"/>
    <d v="2016-04-11T14:46:00"/>
    <n v="24"/>
    <s v="1 - 39 Days"/>
    <s v="1 - 39 Days"/>
    <x v="3"/>
    <x v="2"/>
    <s v="Middle Aged"/>
    <x v="1"/>
    <s v="Bachelor"/>
    <x v="0"/>
    <s v="Male"/>
  </r>
  <r>
    <x v="472"/>
    <x v="2"/>
    <n v="800"/>
    <n v="15"/>
    <x v="4"/>
    <s v="9/26/2016"/>
    <s v="11/16/2016 12:12"/>
    <n v="51"/>
    <s v=" 40 - 80 Days"/>
    <s v="40 - 80 Days"/>
    <x v="2"/>
    <x v="2"/>
    <s v="Middle Aged"/>
    <x v="2"/>
    <s v="College"/>
    <x v="0"/>
    <s v="Male"/>
  </r>
  <r>
    <x v="473"/>
    <x v="2"/>
    <n v="1000"/>
    <n v="30"/>
    <x v="4"/>
    <d v="2016-11-10T00:00:00"/>
    <s v="10/14/2016 19:02"/>
    <n v="3"/>
    <s v="1 - 39 Days"/>
    <s v="1 - 39 Days"/>
    <x v="19"/>
    <x v="2"/>
    <s v="Middle Aged"/>
    <x v="0"/>
    <s v="High School Or Below"/>
    <x v="0"/>
    <s v="Male"/>
  </r>
  <r>
    <x v="474"/>
    <x v="2"/>
    <n v="800"/>
    <n v="15"/>
    <x v="4"/>
    <s v="9/26/2016"/>
    <s v="9/28/2016 11:34"/>
    <n v="2"/>
    <s v="1 - 39 Days"/>
    <s v="1 - 39 Days"/>
    <x v="8"/>
    <x v="2"/>
    <s v="Middle Aged"/>
    <x v="0"/>
    <s v="High School Or Below"/>
    <x v="1"/>
    <s v="Female"/>
  </r>
  <r>
    <x v="475"/>
    <x v="2"/>
    <n v="1000"/>
    <n v="30"/>
    <x v="4"/>
    <d v="2016-11-10T00:00:00"/>
    <d v="2016-09-11T18:12:00"/>
    <n v="29"/>
    <s v="1 - 39 Days"/>
    <s v="1 - 39 Days"/>
    <x v="5"/>
    <x v="0"/>
    <s v="Mature"/>
    <x v="2"/>
    <s v="College"/>
    <x v="1"/>
    <s v="Female"/>
  </r>
  <r>
    <x v="476"/>
    <x v="2"/>
    <n v="800"/>
    <n v="15"/>
    <x v="4"/>
    <s v="10/26/2016"/>
    <s v="10/31/2016 13:07"/>
    <n v="5"/>
    <s v="1 - 39 Days"/>
    <s v="1 - 39 Days"/>
    <x v="22"/>
    <x v="0"/>
    <s v="Mature"/>
    <x v="2"/>
    <s v="College"/>
    <x v="1"/>
    <s v="Female"/>
  </r>
  <r>
    <x v="477"/>
    <x v="2"/>
    <n v="1000"/>
    <n v="30"/>
    <x v="4"/>
    <d v="2016-11-10T00:00:00"/>
    <s v="10/20/2016 17:38"/>
    <n v="9"/>
    <s v="1 - 39 Days"/>
    <s v="1 - 39 Days"/>
    <x v="3"/>
    <x v="2"/>
    <s v="Middle Aged"/>
    <x v="2"/>
    <s v="College"/>
    <x v="0"/>
    <s v="Male"/>
  </r>
  <r>
    <x v="478"/>
    <x v="2"/>
    <n v="1000"/>
    <n v="15"/>
    <x v="4"/>
    <d v="2016-11-10T00:00:00"/>
    <d v="2016-07-11T08:55:00"/>
    <n v="27"/>
    <s v="1 - 39 Days"/>
    <s v="1 - 39 Days"/>
    <x v="20"/>
    <x v="3"/>
    <s v=" Young Adults"/>
    <x v="0"/>
    <s v="High School Or Below"/>
    <x v="0"/>
    <s v="Male"/>
  </r>
  <r>
    <x v="479"/>
    <x v="2"/>
    <n v="1000"/>
    <n v="30"/>
    <x v="4"/>
    <d v="2016-11-10T00:00:00"/>
    <d v="2016-12-10T18:26:00"/>
    <n v="1"/>
    <s v="1 - 39 Days"/>
    <s v="1 - 39 Days"/>
    <x v="3"/>
    <x v="2"/>
    <s v="Middle Aged"/>
    <x v="1"/>
    <s v="Bachelor"/>
    <x v="0"/>
    <s v="Male"/>
  </r>
  <r>
    <x v="480"/>
    <x v="2"/>
    <n v="1000"/>
    <n v="15"/>
    <x v="4"/>
    <s v="9/26/2016"/>
    <s v="10/25/2016 13:44"/>
    <n v="29"/>
    <s v="1 - 39 Days"/>
    <s v="1 - 39 Days"/>
    <x v="19"/>
    <x v="2"/>
    <s v="Middle Aged"/>
    <x v="1"/>
    <s v="Bachelor"/>
    <x v="0"/>
    <s v="Male"/>
  </r>
  <r>
    <x v="481"/>
    <x v="2"/>
    <n v="1000"/>
    <n v="15"/>
    <x v="4"/>
    <s v="9/26/2016"/>
    <s v="9/29/2016 15:07"/>
    <n v="3"/>
    <s v="1 - 39 Days"/>
    <s v="1 - 39 Days"/>
    <x v="3"/>
    <x v="2"/>
    <s v="Middle Aged"/>
    <x v="0"/>
    <s v="High School Or Below"/>
    <x v="0"/>
    <s v="Male"/>
  </r>
  <r>
    <x v="482"/>
    <x v="2"/>
    <n v="800"/>
    <n v="15"/>
    <x v="4"/>
    <s v="9/26/2016"/>
    <s v="9/27/2016 11:40"/>
    <n v="1"/>
    <s v="1 - 39 Days"/>
    <s v="1 - 39 Days"/>
    <x v="26"/>
    <x v="0"/>
    <s v="Mature"/>
    <x v="2"/>
    <s v="College"/>
    <x v="0"/>
    <s v="Male"/>
  </r>
  <r>
    <x v="483"/>
    <x v="2"/>
    <n v="1000"/>
    <n v="30"/>
    <x v="4"/>
    <d v="2016-11-10T00:00:00"/>
    <s v="10/18/2016 19:08"/>
    <n v="7"/>
    <s v="1 - 39 Days"/>
    <s v="1 - 39 Days"/>
    <x v="19"/>
    <x v="2"/>
    <s v="Middle Aged"/>
    <x v="2"/>
    <s v="College"/>
    <x v="0"/>
    <s v="Male"/>
  </r>
  <r>
    <x v="484"/>
    <x v="2"/>
    <n v="1000"/>
    <n v="30"/>
    <x v="4"/>
    <d v="2016-11-10T00:00:00"/>
    <s v="10/15/2016 9:23"/>
    <n v="4"/>
    <s v="1 - 39 Days"/>
    <s v="1 - 39 Days"/>
    <x v="8"/>
    <x v="2"/>
    <s v="Middle Aged"/>
    <x v="2"/>
    <s v="College"/>
    <x v="0"/>
    <s v="Male"/>
  </r>
  <r>
    <x v="485"/>
    <x v="2"/>
    <n v="1000"/>
    <n v="30"/>
    <x v="4"/>
    <d v="2016-11-10T00:00:00"/>
    <s v="10/14/2016 10:07"/>
    <n v="3"/>
    <s v="1 - 39 Days"/>
    <s v="1 - 39 Days"/>
    <x v="23"/>
    <x v="0"/>
    <s v="Mature"/>
    <x v="0"/>
    <s v="High School Or Below"/>
    <x v="0"/>
    <s v="Male"/>
  </r>
  <r>
    <x v="486"/>
    <x v="2"/>
    <n v="800"/>
    <n v="15"/>
    <x v="4"/>
    <s v="9/26/2016"/>
    <s v="11/21/2016 11:36"/>
    <n v="56"/>
    <s v=" 40 - 80 Days"/>
    <s v="40 - 80 Days"/>
    <x v="22"/>
    <x v="0"/>
    <s v="Mature"/>
    <x v="0"/>
    <s v="High School Or Below"/>
    <x v="0"/>
    <s v="Male"/>
  </r>
  <r>
    <x v="487"/>
    <x v="2"/>
    <n v="1000"/>
    <n v="30"/>
    <x v="4"/>
    <d v="2016-11-10T00:00:00"/>
    <s v="10/13/2016 12:02"/>
    <n v="2"/>
    <s v="1 - 39 Days"/>
    <s v="1 - 39 Days"/>
    <x v="5"/>
    <x v="0"/>
    <s v="Mature"/>
    <x v="1"/>
    <s v="Bachelor"/>
    <x v="0"/>
    <s v="Male"/>
  </r>
  <r>
    <x v="488"/>
    <x v="2"/>
    <n v="1000"/>
    <n v="15"/>
    <x v="4"/>
    <s v="9/26/2016"/>
    <d v="2016-09-10T19:30:00"/>
    <n v="13"/>
    <s v="1 - 39 Days"/>
    <s v="1 - 39 Days"/>
    <x v="0"/>
    <x v="0"/>
    <s v="Mature"/>
    <x v="2"/>
    <s v="College"/>
    <x v="0"/>
    <s v="Male"/>
  </r>
  <r>
    <x v="489"/>
    <x v="2"/>
    <n v="1000"/>
    <n v="30"/>
    <x v="4"/>
    <d v="2016-11-10T00:00:00"/>
    <d v="2016-12-10T18:04:00"/>
    <n v="1"/>
    <s v="1 - 39 Days"/>
    <s v="1 - 39 Days"/>
    <x v="7"/>
    <x v="0"/>
    <s v="Mature"/>
    <x v="2"/>
    <s v="College"/>
    <x v="0"/>
    <s v="Male"/>
  </r>
  <r>
    <x v="490"/>
    <x v="2"/>
    <n v="1000"/>
    <n v="30"/>
    <x v="4"/>
    <d v="2016-11-10T00:00:00"/>
    <s v="10/17/2016 10:53"/>
    <n v="6"/>
    <s v="1 - 39 Days"/>
    <s v="1 - 39 Days"/>
    <x v="23"/>
    <x v="0"/>
    <s v="Mature"/>
    <x v="0"/>
    <s v="High School Or Below"/>
    <x v="0"/>
    <s v="Male"/>
  </r>
  <r>
    <x v="491"/>
    <x v="2"/>
    <n v="1000"/>
    <n v="30"/>
    <x v="4"/>
    <d v="2016-11-10T00:00:00"/>
    <d v="2016-09-11T13:41:00"/>
    <n v="29"/>
    <s v="1 - 39 Days"/>
    <s v="1 - 39 Days"/>
    <x v="3"/>
    <x v="2"/>
    <s v="Middle Aged"/>
    <x v="2"/>
    <s v="College"/>
    <x v="0"/>
    <s v="Male"/>
  </r>
  <r>
    <x v="492"/>
    <x v="2"/>
    <n v="1000"/>
    <n v="30"/>
    <x v="4"/>
    <d v="2016-11-10T00:00:00"/>
    <s v="10/25/2016 17:44"/>
    <n v="14"/>
    <s v="1 - 39 Days"/>
    <s v="1 - 39 Days"/>
    <x v="3"/>
    <x v="2"/>
    <s v="Middle Aged"/>
    <x v="1"/>
    <s v="Bachelor"/>
    <x v="0"/>
    <s v="Male"/>
  </r>
  <r>
    <x v="493"/>
    <x v="2"/>
    <n v="1000"/>
    <n v="15"/>
    <x v="4"/>
    <s v="9/26/2016"/>
    <s v="9/29/2016 12:45"/>
    <n v="3"/>
    <s v="1 - 39 Days"/>
    <s v="1 - 39 Days"/>
    <x v="6"/>
    <x v="2"/>
    <s v="Middle Aged"/>
    <x v="2"/>
    <s v="College"/>
    <x v="0"/>
    <s v="Male"/>
  </r>
  <r>
    <x v="494"/>
    <x v="2"/>
    <n v="1000"/>
    <n v="30"/>
    <x v="4"/>
    <d v="2016-11-10T00:00:00"/>
    <s v="10/13/2016 14:45"/>
    <n v="2"/>
    <s v="1 - 39 Days"/>
    <s v="1 - 39 Days"/>
    <x v="19"/>
    <x v="2"/>
    <s v="Middle Aged"/>
    <x v="0"/>
    <s v="High School Or Below"/>
    <x v="0"/>
    <s v="Male"/>
  </r>
  <r>
    <x v="495"/>
    <x v="2"/>
    <n v="1000"/>
    <n v="30"/>
    <x v="4"/>
    <d v="2016-11-10T00:00:00"/>
    <s v="10/14/2016 19:08"/>
    <n v="3"/>
    <s v="1 - 39 Days"/>
    <s v="1 - 39 Days"/>
    <x v="4"/>
    <x v="2"/>
    <s v="Middle Aged"/>
    <x v="0"/>
    <s v="High School Or Below"/>
    <x v="0"/>
    <s v="Male"/>
  </r>
  <r>
    <x v="496"/>
    <x v="2"/>
    <n v="1000"/>
    <n v="15"/>
    <x v="4"/>
    <s v="9/26/2016"/>
    <d v="2016-10-10T20:02:00"/>
    <n v="14"/>
    <s v="1 - 39 Days"/>
    <s v="1 - 39 Days"/>
    <x v="8"/>
    <x v="2"/>
    <s v="Middle Aged"/>
    <x v="0"/>
    <s v="High School Or Below"/>
    <x v="0"/>
    <s v="Male"/>
  </r>
  <r>
    <x v="497"/>
    <x v="2"/>
    <n v="800"/>
    <n v="15"/>
    <x v="4"/>
    <s v="9/26/2016"/>
    <s v="9/29/2016 11:49"/>
    <n v="3"/>
    <s v="1 - 39 Days"/>
    <s v="1 - 39 Days"/>
    <x v="19"/>
    <x v="2"/>
    <s v="Middle Aged"/>
    <x v="2"/>
    <s v="College"/>
    <x v="0"/>
    <s v="Male"/>
  </r>
  <r>
    <x v="498"/>
    <x v="2"/>
    <n v="1000"/>
    <n v="30"/>
    <x v="4"/>
    <d v="2016-10-11T00:00:00"/>
    <d v="2016-11-11T22:40:00"/>
    <n v="1"/>
    <s v="1 - 39 Days"/>
    <s v="1 - 39 Days"/>
    <x v="23"/>
    <x v="0"/>
    <s v="Mature"/>
    <x v="2"/>
    <s v="College"/>
    <x v="1"/>
    <s v="Female"/>
  </r>
  <r>
    <x v="499"/>
    <x v="2"/>
    <n v="1000"/>
    <n v="30"/>
    <x v="4"/>
    <d v="2016-11-10T00:00:00"/>
    <s v="10/19/2016 11:58"/>
    <n v="8"/>
    <s v="1 - 39 Days"/>
    <s v="1 - 39 Days"/>
    <x v="4"/>
    <x v="2"/>
    <s v="Middle Aged"/>
    <x v="0"/>
    <s v="High School Or Below"/>
    <x v="0"/>
    <s v="Mal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9E74B41-70C9-40E0-83E3-039F70ABF646}"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5">
  <location ref="A28:E32" firstHeaderRow="1" firstDataRow="2" firstDataCol="1"/>
  <pivotFields count="17">
    <pivotField dataField="1" showAll="0"/>
    <pivotField axis="axisCol" showAll="0">
      <items count="4">
        <item x="1"/>
        <item x="2"/>
        <item x="0"/>
        <item t="default"/>
      </items>
    </pivotField>
    <pivotField numFmtId="1" showAll="0"/>
    <pivotField numFmtId="1" showAll="0"/>
    <pivotField showAll="0"/>
    <pivotField showAll="0"/>
    <pivotField showAll="0"/>
    <pivotField showAll="0"/>
    <pivotField showAll="0"/>
    <pivotField showAll="0"/>
    <pivotField numFmtId="1" showAll="0"/>
    <pivotField showAll="0">
      <items count="5">
        <item x="3"/>
        <item x="0"/>
        <item x="2"/>
        <item x="1"/>
        <item t="default"/>
      </items>
    </pivotField>
    <pivotField showAll="0"/>
    <pivotField showAll="0">
      <items count="5">
        <item x="1"/>
        <item x="2"/>
        <item x="0"/>
        <item x="3"/>
        <item t="default"/>
      </items>
    </pivotField>
    <pivotField showAll="0"/>
    <pivotField axis="axisRow" showAll="0">
      <items count="3">
        <item x="1"/>
        <item x="0"/>
        <item t="default"/>
      </items>
    </pivotField>
    <pivotField showAll="0"/>
  </pivotFields>
  <rowFields count="1">
    <field x="15"/>
  </rowFields>
  <rowItems count="3">
    <i>
      <x/>
    </i>
    <i>
      <x v="1"/>
    </i>
    <i t="grand">
      <x/>
    </i>
  </rowItems>
  <colFields count="1">
    <field x="1"/>
  </colFields>
  <colItems count="4">
    <i>
      <x/>
    </i>
    <i>
      <x v="1"/>
    </i>
    <i>
      <x v="2"/>
    </i>
    <i t="grand">
      <x/>
    </i>
  </colItems>
  <dataFields count="1">
    <dataField name="Count of Loan_ID" fld="0" subtotal="count" baseField="0" baseItem="0"/>
  </dataFields>
  <chartFormats count="6">
    <chartFormat chart="1" format="0" series="1">
      <pivotArea type="data" outline="0" fieldPosition="0">
        <references count="2">
          <reference field="4294967294" count="1" selected="0">
            <x v="0"/>
          </reference>
          <reference field="1" count="1" selected="0">
            <x v="0"/>
          </reference>
        </references>
      </pivotArea>
    </chartFormat>
    <chartFormat chart="1" format="1" series="1">
      <pivotArea type="data" outline="0" fieldPosition="0">
        <references count="2">
          <reference field="4294967294" count="1" selected="0">
            <x v="0"/>
          </reference>
          <reference field="1" count="1" selected="0">
            <x v="1"/>
          </reference>
        </references>
      </pivotArea>
    </chartFormat>
    <chartFormat chart="1" format="2" series="1">
      <pivotArea type="data" outline="0" fieldPosition="0">
        <references count="2">
          <reference field="4294967294" count="1" selected="0">
            <x v="0"/>
          </reference>
          <reference field="1" count="1" selected="0">
            <x v="2"/>
          </reference>
        </references>
      </pivotArea>
    </chartFormat>
    <chartFormat chart="14" format="6" series="1">
      <pivotArea type="data" outline="0" fieldPosition="0">
        <references count="2">
          <reference field="4294967294" count="1" selected="0">
            <x v="0"/>
          </reference>
          <reference field="1" count="1" selected="0">
            <x v="0"/>
          </reference>
        </references>
      </pivotArea>
    </chartFormat>
    <chartFormat chart="14" format="7" series="1">
      <pivotArea type="data" outline="0" fieldPosition="0">
        <references count="2">
          <reference field="4294967294" count="1" selected="0">
            <x v="0"/>
          </reference>
          <reference field="1" count="1" selected="0">
            <x v="1"/>
          </reference>
        </references>
      </pivotArea>
    </chartFormat>
    <chartFormat chart="14" format="8" series="1">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459836E-5D5E-4015-9F70-1A3D4A875341}"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0">
  <location ref="A8:C16" firstHeaderRow="0" firstDataRow="1" firstDataCol="1"/>
  <pivotFields count="17">
    <pivotField dataField="1" showAll="0"/>
    <pivotField showAll="0">
      <items count="4">
        <item x="1"/>
        <item x="2"/>
        <item x="0"/>
        <item t="default"/>
      </items>
    </pivotField>
    <pivotField dataField="1" numFmtId="1" showAll="0"/>
    <pivotField numFmtId="1" showAll="0"/>
    <pivotField axis="axisRow" showAll="0">
      <items count="8">
        <item x="5"/>
        <item x="6"/>
        <item x="0"/>
        <item x="1"/>
        <item x="2"/>
        <item x="3"/>
        <item x="4"/>
        <item t="default"/>
      </items>
    </pivotField>
    <pivotField showAll="0"/>
    <pivotField showAll="0"/>
    <pivotField showAll="0"/>
    <pivotField showAll="0"/>
    <pivotField showAll="0"/>
    <pivotField numFmtId="1" showAll="0">
      <items count="34">
        <item x="31"/>
        <item x="28"/>
        <item x="25"/>
        <item x="18"/>
        <item x="20"/>
        <item x="24"/>
        <item x="17"/>
        <item x="13"/>
        <item x="8"/>
        <item x="3"/>
        <item x="4"/>
        <item x="6"/>
        <item x="19"/>
        <item x="15"/>
        <item x="11"/>
        <item x="2"/>
        <item x="14"/>
        <item x="5"/>
        <item x="7"/>
        <item x="16"/>
        <item x="23"/>
        <item x="9"/>
        <item x="10"/>
        <item x="30"/>
        <item x="27"/>
        <item x="12"/>
        <item x="21"/>
        <item x="0"/>
        <item x="22"/>
        <item x="26"/>
        <item x="32"/>
        <item x="1"/>
        <item x="29"/>
        <item t="default"/>
      </items>
    </pivotField>
    <pivotField showAll="0">
      <items count="5">
        <item x="3"/>
        <item x="0"/>
        <item x="2"/>
        <item x="1"/>
        <item t="default"/>
      </items>
    </pivotField>
    <pivotField showAll="0"/>
    <pivotField showAll="0">
      <items count="5">
        <item x="1"/>
        <item x="2"/>
        <item x="0"/>
        <item x="3"/>
        <item t="default"/>
      </items>
    </pivotField>
    <pivotField showAll="0"/>
    <pivotField showAll="0">
      <items count="3">
        <item x="1"/>
        <item x="0"/>
        <item t="default"/>
      </items>
    </pivotField>
    <pivotField showAll="0"/>
  </pivotFields>
  <rowFields count="1">
    <field x="4"/>
  </rowFields>
  <rowItems count="8">
    <i>
      <x/>
    </i>
    <i>
      <x v="1"/>
    </i>
    <i>
      <x v="2"/>
    </i>
    <i>
      <x v="3"/>
    </i>
    <i>
      <x v="4"/>
    </i>
    <i>
      <x v="5"/>
    </i>
    <i>
      <x v="6"/>
    </i>
    <i t="grand">
      <x/>
    </i>
  </rowItems>
  <colFields count="1">
    <field x="-2"/>
  </colFields>
  <colItems count="2">
    <i>
      <x/>
    </i>
    <i i="1">
      <x v="1"/>
    </i>
  </colItems>
  <dataFields count="2">
    <dataField name="Count of Loan_ID" fld="0" subtotal="count" baseField="0" baseItem="0"/>
    <dataField name="Sum of Principal" fld="2" baseField="0" baseItem="0"/>
  </dataFields>
  <chartFormats count="64">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5" format="2" series="1">
      <pivotArea type="data" outline="0" fieldPosition="0">
        <references count="1">
          <reference field="4294967294" count="1" selected="0">
            <x v="0"/>
          </reference>
        </references>
      </pivotArea>
    </chartFormat>
    <chartFormat chart="5" format="3">
      <pivotArea type="data" outline="0" fieldPosition="0">
        <references count="2">
          <reference field="4294967294" count="1" selected="0">
            <x v="0"/>
          </reference>
          <reference field="4" count="1" selected="0">
            <x v="0"/>
          </reference>
        </references>
      </pivotArea>
    </chartFormat>
    <chartFormat chart="5" format="4">
      <pivotArea type="data" outline="0" fieldPosition="0">
        <references count="2">
          <reference field="4294967294" count="1" selected="0">
            <x v="0"/>
          </reference>
          <reference field="4" count="1" selected="0">
            <x v="1"/>
          </reference>
        </references>
      </pivotArea>
    </chartFormat>
    <chartFormat chart="5" format="5">
      <pivotArea type="data" outline="0" fieldPosition="0">
        <references count="2">
          <reference field="4294967294" count="1" selected="0">
            <x v="0"/>
          </reference>
          <reference field="4" count="1" selected="0">
            <x v="2"/>
          </reference>
        </references>
      </pivotArea>
    </chartFormat>
    <chartFormat chart="5" format="6">
      <pivotArea type="data" outline="0" fieldPosition="0">
        <references count="2">
          <reference field="4294967294" count="1" selected="0">
            <x v="0"/>
          </reference>
          <reference field="4" count="1" selected="0">
            <x v="3"/>
          </reference>
        </references>
      </pivotArea>
    </chartFormat>
    <chartFormat chart="5" format="7">
      <pivotArea type="data" outline="0" fieldPosition="0">
        <references count="2">
          <reference field="4294967294" count="1" selected="0">
            <x v="0"/>
          </reference>
          <reference field="4" count="1" selected="0">
            <x v="4"/>
          </reference>
        </references>
      </pivotArea>
    </chartFormat>
    <chartFormat chart="5" format="8">
      <pivotArea type="data" outline="0" fieldPosition="0">
        <references count="2">
          <reference field="4294967294" count="1" selected="0">
            <x v="0"/>
          </reference>
          <reference field="4" count="1" selected="0">
            <x v="5"/>
          </reference>
        </references>
      </pivotArea>
    </chartFormat>
    <chartFormat chart="5" format="9">
      <pivotArea type="data" outline="0" fieldPosition="0">
        <references count="2">
          <reference field="4294967294" count="1" selected="0">
            <x v="0"/>
          </reference>
          <reference field="4" count="1" selected="0">
            <x v="6"/>
          </reference>
        </references>
      </pivotArea>
    </chartFormat>
    <chartFormat chart="5" format="10" series="1">
      <pivotArea type="data" outline="0" fieldPosition="0">
        <references count="1">
          <reference field="4294967294" count="1" selected="0">
            <x v="1"/>
          </reference>
        </references>
      </pivotArea>
    </chartFormat>
    <chartFormat chart="5" format="11">
      <pivotArea type="data" outline="0" fieldPosition="0">
        <references count="2">
          <reference field="4294967294" count="1" selected="0">
            <x v="1"/>
          </reference>
          <reference field="4" count="1" selected="0">
            <x v="0"/>
          </reference>
        </references>
      </pivotArea>
    </chartFormat>
    <chartFormat chart="5" format="12">
      <pivotArea type="data" outline="0" fieldPosition="0">
        <references count="2">
          <reference field="4294967294" count="1" selected="0">
            <x v="1"/>
          </reference>
          <reference field="4" count="1" selected="0">
            <x v="1"/>
          </reference>
        </references>
      </pivotArea>
    </chartFormat>
    <chartFormat chart="5" format="13">
      <pivotArea type="data" outline="0" fieldPosition="0">
        <references count="2">
          <reference field="4294967294" count="1" selected="0">
            <x v="1"/>
          </reference>
          <reference field="4" count="1" selected="0">
            <x v="2"/>
          </reference>
        </references>
      </pivotArea>
    </chartFormat>
    <chartFormat chart="5" format="14">
      <pivotArea type="data" outline="0" fieldPosition="0">
        <references count="2">
          <reference field="4294967294" count="1" selected="0">
            <x v="1"/>
          </reference>
          <reference field="4" count="1" selected="0">
            <x v="3"/>
          </reference>
        </references>
      </pivotArea>
    </chartFormat>
    <chartFormat chart="5" format="15">
      <pivotArea type="data" outline="0" fieldPosition="0">
        <references count="2">
          <reference field="4294967294" count="1" selected="0">
            <x v="1"/>
          </reference>
          <reference field="4" count="1" selected="0">
            <x v="4"/>
          </reference>
        </references>
      </pivotArea>
    </chartFormat>
    <chartFormat chart="5" format="16">
      <pivotArea type="data" outline="0" fieldPosition="0">
        <references count="2">
          <reference field="4294967294" count="1" selected="0">
            <x v="1"/>
          </reference>
          <reference field="4" count="1" selected="0">
            <x v="5"/>
          </reference>
        </references>
      </pivotArea>
    </chartFormat>
    <chartFormat chart="5" format="17">
      <pivotArea type="data" outline="0" fieldPosition="0">
        <references count="2">
          <reference field="4294967294" count="1" selected="0">
            <x v="1"/>
          </reference>
          <reference field="4" count="1" selected="0">
            <x v="6"/>
          </reference>
        </references>
      </pivotArea>
    </chartFormat>
    <chartFormat chart="6" format="18" series="1">
      <pivotArea type="data" outline="0" fieldPosition="0">
        <references count="1">
          <reference field="4294967294" count="1" selected="0">
            <x v="0"/>
          </reference>
        </references>
      </pivotArea>
    </chartFormat>
    <chartFormat chart="6" format="19">
      <pivotArea type="data" outline="0" fieldPosition="0">
        <references count="2">
          <reference field="4294967294" count="1" selected="0">
            <x v="0"/>
          </reference>
          <reference field="4" count="1" selected="0">
            <x v="0"/>
          </reference>
        </references>
      </pivotArea>
    </chartFormat>
    <chartFormat chart="6" format="20">
      <pivotArea type="data" outline="0" fieldPosition="0">
        <references count="2">
          <reference field="4294967294" count="1" selected="0">
            <x v="0"/>
          </reference>
          <reference field="4" count="1" selected="0">
            <x v="1"/>
          </reference>
        </references>
      </pivotArea>
    </chartFormat>
    <chartFormat chart="6" format="21">
      <pivotArea type="data" outline="0" fieldPosition="0">
        <references count="2">
          <reference field="4294967294" count="1" selected="0">
            <x v="0"/>
          </reference>
          <reference field="4" count="1" selected="0">
            <x v="2"/>
          </reference>
        </references>
      </pivotArea>
    </chartFormat>
    <chartFormat chart="6" format="22">
      <pivotArea type="data" outline="0" fieldPosition="0">
        <references count="2">
          <reference field="4294967294" count="1" selected="0">
            <x v="0"/>
          </reference>
          <reference field="4" count="1" selected="0">
            <x v="3"/>
          </reference>
        </references>
      </pivotArea>
    </chartFormat>
    <chartFormat chart="6" format="23">
      <pivotArea type="data" outline="0" fieldPosition="0">
        <references count="2">
          <reference field="4294967294" count="1" selected="0">
            <x v="0"/>
          </reference>
          <reference field="4" count="1" selected="0">
            <x v="4"/>
          </reference>
        </references>
      </pivotArea>
    </chartFormat>
    <chartFormat chart="6" format="24">
      <pivotArea type="data" outline="0" fieldPosition="0">
        <references count="2">
          <reference field="4294967294" count="1" selected="0">
            <x v="0"/>
          </reference>
          <reference field="4" count="1" selected="0">
            <x v="5"/>
          </reference>
        </references>
      </pivotArea>
    </chartFormat>
    <chartFormat chart="6" format="25">
      <pivotArea type="data" outline="0" fieldPosition="0">
        <references count="2">
          <reference field="4294967294" count="1" selected="0">
            <x v="0"/>
          </reference>
          <reference field="4" count="1" selected="0">
            <x v="6"/>
          </reference>
        </references>
      </pivotArea>
    </chartFormat>
    <chartFormat chart="6" format="26" series="1">
      <pivotArea type="data" outline="0" fieldPosition="0">
        <references count="1">
          <reference field="4294967294" count="1" selected="0">
            <x v="1"/>
          </reference>
        </references>
      </pivotArea>
    </chartFormat>
    <chartFormat chart="6" format="27">
      <pivotArea type="data" outline="0" fieldPosition="0">
        <references count="2">
          <reference field="4294967294" count="1" selected="0">
            <x v="1"/>
          </reference>
          <reference field="4" count="1" selected="0">
            <x v="0"/>
          </reference>
        </references>
      </pivotArea>
    </chartFormat>
    <chartFormat chart="6" format="28">
      <pivotArea type="data" outline="0" fieldPosition="0">
        <references count="2">
          <reference field="4294967294" count="1" selected="0">
            <x v="1"/>
          </reference>
          <reference field="4" count="1" selected="0">
            <x v="1"/>
          </reference>
        </references>
      </pivotArea>
    </chartFormat>
    <chartFormat chart="6" format="29">
      <pivotArea type="data" outline="0" fieldPosition="0">
        <references count="2">
          <reference field="4294967294" count="1" selected="0">
            <x v="1"/>
          </reference>
          <reference field="4" count="1" selected="0">
            <x v="2"/>
          </reference>
        </references>
      </pivotArea>
    </chartFormat>
    <chartFormat chart="6" format="30">
      <pivotArea type="data" outline="0" fieldPosition="0">
        <references count="2">
          <reference field="4294967294" count="1" selected="0">
            <x v="1"/>
          </reference>
          <reference field="4" count="1" selected="0">
            <x v="3"/>
          </reference>
        </references>
      </pivotArea>
    </chartFormat>
    <chartFormat chart="6" format="31">
      <pivotArea type="data" outline="0" fieldPosition="0">
        <references count="2">
          <reference field="4294967294" count="1" selected="0">
            <x v="1"/>
          </reference>
          <reference field="4" count="1" selected="0">
            <x v="4"/>
          </reference>
        </references>
      </pivotArea>
    </chartFormat>
    <chartFormat chart="6" format="32">
      <pivotArea type="data" outline="0" fieldPosition="0">
        <references count="2">
          <reference field="4294967294" count="1" selected="0">
            <x v="1"/>
          </reference>
          <reference field="4" count="1" selected="0">
            <x v="5"/>
          </reference>
        </references>
      </pivotArea>
    </chartFormat>
    <chartFormat chart="6" format="33">
      <pivotArea type="data" outline="0" fieldPosition="0">
        <references count="2">
          <reference field="4294967294" count="1" selected="0">
            <x v="1"/>
          </reference>
          <reference field="4" count="1" selected="0">
            <x v="6"/>
          </reference>
        </references>
      </pivotArea>
    </chartFormat>
    <chartFormat chart="29" format="18" series="1">
      <pivotArea type="data" outline="0" fieldPosition="0">
        <references count="1">
          <reference field="4294967294" count="1" selected="0">
            <x v="0"/>
          </reference>
        </references>
      </pivotArea>
    </chartFormat>
    <chartFormat chart="29" format="19">
      <pivotArea type="data" outline="0" fieldPosition="0">
        <references count="2">
          <reference field="4294967294" count="1" selected="0">
            <x v="0"/>
          </reference>
          <reference field="4" count="1" selected="0">
            <x v="0"/>
          </reference>
        </references>
      </pivotArea>
    </chartFormat>
    <chartFormat chart="29" format="20">
      <pivotArea type="data" outline="0" fieldPosition="0">
        <references count="2">
          <reference field="4294967294" count="1" selected="0">
            <x v="0"/>
          </reference>
          <reference field="4" count="1" selected="0">
            <x v="1"/>
          </reference>
        </references>
      </pivotArea>
    </chartFormat>
    <chartFormat chart="29" format="21">
      <pivotArea type="data" outline="0" fieldPosition="0">
        <references count="2">
          <reference field="4294967294" count="1" selected="0">
            <x v="0"/>
          </reference>
          <reference field="4" count="1" selected="0">
            <x v="2"/>
          </reference>
        </references>
      </pivotArea>
    </chartFormat>
    <chartFormat chart="29" format="22">
      <pivotArea type="data" outline="0" fieldPosition="0">
        <references count="2">
          <reference field="4294967294" count="1" selected="0">
            <x v="0"/>
          </reference>
          <reference field="4" count="1" selected="0">
            <x v="3"/>
          </reference>
        </references>
      </pivotArea>
    </chartFormat>
    <chartFormat chart="29" format="23">
      <pivotArea type="data" outline="0" fieldPosition="0">
        <references count="2">
          <reference field="4294967294" count="1" selected="0">
            <x v="0"/>
          </reference>
          <reference field="4" count="1" selected="0">
            <x v="4"/>
          </reference>
        </references>
      </pivotArea>
    </chartFormat>
    <chartFormat chart="29" format="24">
      <pivotArea type="data" outline="0" fieldPosition="0">
        <references count="2">
          <reference field="4294967294" count="1" selected="0">
            <x v="0"/>
          </reference>
          <reference field="4" count="1" selected="0">
            <x v="5"/>
          </reference>
        </references>
      </pivotArea>
    </chartFormat>
    <chartFormat chart="29" format="25">
      <pivotArea type="data" outline="0" fieldPosition="0">
        <references count="2">
          <reference field="4294967294" count="1" selected="0">
            <x v="0"/>
          </reference>
          <reference field="4" count="1" selected="0">
            <x v="6"/>
          </reference>
        </references>
      </pivotArea>
    </chartFormat>
    <chartFormat chart="29" format="26" series="1">
      <pivotArea type="data" outline="0" fieldPosition="0">
        <references count="1">
          <reference field="4294967294" count="1" selected="0">
            <x v="1"/>
          </reference>
        </references>
      </pivotArea>
    </chartFormat>
    <chartFormat chart="29" format="27">
      <pivotArea type="data" outline="0" fieldPosition="0">
        <references count="2">
          <reference field="4294967294" count="1" selected="0">
            <x v="1"/>
          </reference>
          <reference field="4" count="1" selected="0">
            <x v="0"/>
          </reference>
        </references>
      </pivotArea>
    </chartFormat>
    <chartFormat chart="29" format="28">
      <pivotArea type="data" outline="0" fieldPosition="0">
        <references count="2">
          <reference field="4294967294" count="1" selected="0">
            <x v="1"/>
          </reference>
          <reference field="4" count="1" selected="0">
            <x v="1"/>
          </reference>
        </references>
      </pivotArea>
    </chartFormat>
    <chartFormat chart="29" format="29">
      <pivotArea type="data" outline="0" fieldPosition="0">
        <references count="2">
          <reference field="4294967294" count="1" selected="0">
            <x v="1"/>
          </reference>
          <reference field="4" count="1" selected="0">
            <x v="2"/>
          </reference>
        </references>
      </pivotArea>
    </chartFormat>
    <chartFormat chart="29" format="30">
      <pivotArea type="data" outline="0" fieldPosition="0">
        <references count="2">
          <reference field="4294967294" count="1" selected="0">
            <x v="1"/>
          </reference>
          <reference field="4" count="1" selected="0">
            <x v="3"/>
          </reference>
        </references>
      </pivotArea>
    </chartFormat>
    <chartFormat chart="29" format="31">
      <pivotArea type="data" outline="0" fieldPosition="0">
        <references count="2">
          <reference field="4294967294" count="1" selected="0">
            <x v="1"/>
          </reference>
          <reference field="4" count="1" selected="0">
            <x v="4"/>
          </reference>
        </references>
      </pivotArea>
    </chartFormat>
    <chartFormat chart="29" format="32">
      <pivotArea type="data" outline="0" fieldPosition="0">
        <references count="2">
          <reference field="4294967294" count="1" selected="0">
            <x v="1"/>
          </reference>
          <reference field="4" count="1" selected="0">
            <x v="5"/>
          </reference>
        </references>
      </pivotArea>
    </chartFormat>
    <chartFormat chart="29" format="33">
      <pivotArea type="data" outline="0" fieldPosition="0">
        <references count="2">
          <reference field="4294967294" count="1" selected="0">
            <x v="1"/>
          </reference>
          <reference field="4" count="1" selected="0">
            <x v="6"/>
          </reference>
        </references>
      </pivotArea>
    </chartFormat>
    <chartFormat chart="4" format="2">
      <pivotArea type="data" outline="0" fieldPosition="0">
        <references count="2">
          <reference field="4294967294" count="1" selected="0">
            <x v="0"/>
          </reference>
          <reference field="4" count="1" selected="0">
            <x v="0"/>
          </reference>
        </references>
      </pivotArea>
    </chartFormat>
    <chartFormat chart="4" format="3">
      <pivotArea type="data" outline="0" fieldPosition="0">
        <references count="2">
          <reference field="4294967294" count="1" selected="0">
            <x v="0"/>
          </reference>
          <reference field="4" count="1" selected="0">
            <x v="1"/>
          </reference>
        </references>
      </pivotArea>
    </chartFormat>
    <chartFormat chart="4" format="4">
      <pivotArea type="data" outline="0" fieldPosition="0">
        <references count="2">
          <reference field="4294967294" count="1" selected="0">
            <x v="0"/>
          </reference>
          <reference field="4" count="1" selected="0">
            <x v="2"/>
          </reference>
        </references>
      </pivotArea>
    </chartFormat>
    <chartFormat chart="4" format="5">
      <pivotArea type="data" outline="0" fieldPosition="0">
        <references count="2">
          <reference field="4294967294" count="1" selected="0">
            <x v="0"/>
          </reference>
          <reference field="4" count="1" selected="0">
            <x v="3"/>
          </reference>
        </references>
      </pivotArea>
    </chartFormat>
    <chartFormat chart="4" format="6">
      <pivotArea type="data" outline="0" fieldPosition="0">
        <references count="2">
          <reference field="4294967294" count="1" selected="0">
            <x v="0"/>
          </reference>
          <reference field="4" count="1" selected="0">
            <x v="4"/>
          </reference>
        </references>
      </pivotArea>
    </chartFormat>
    <chartFormat chart="4" format="7">
      <pivotArea type="data" outline="0" fieldPosition="0">
        <references count="2">
          <reference field="4294967294" count="1" selected="0">
            <x v="0"/>
          </reference>
          <reference field="4" count="1" selected="0">
            <x v="5"/>
          </reference>
        </references>
      </pivotArea>
    </chartFormat>
    <chartFormat chart="4" format="8">
      <pivotArea type="data" outline="0" fieldPosition="0">
        <references count="2">
          <reference field="4294967294" count="1" selected="0">
            <x v="0"/>
          </reference>
          <reference field="4" count="1" selected="0">
            <x v="6"/>
          </reference>
        </references>
      </pivotArea>
    </chartFormat>
    <chartFormat chart="4" format="9">
      <pivotArea type="data" outline="0" fieldPosition="0">
        <references count="2">
          <reference field="4294967294" count="1" selected="0">
            <x v="1"/>
          </reference>
          <reference field="4" count="1" selected="0">
            <x v="0"/>
          </reference>
        </references>
      </pivotArea>
    </chartFormat>
    <chartFormat chart="4" format="10">
      <pivotArea type="data" outline="0" fieldPosition="0">
        <references count="2">
          <reference field="4294967294" count="1" selected="0">
            <x v="1"/>
          </reference>
          <reference field="4" count="1" selected="0">
            <x v="1"/>
          </reference>
        </references>
      </pivotArea>
    </chartFormat>
    <chartFormat chart="4" format="11">
      <pivotArea type="data" outline="0" fieldPosition="0">
        <references count="2">
          <reference field="4294967294" count="1" selected="0">
            <x v="1"/>
          </reference>
          <reference field="4" count="1" selected="0">
            <x v="2"/>
          </reference>
        </references>
      </pivotArea>
    </chartFormat>
    <chartFormat chart="4" format="12">
      <pivotArea type="data" outline="0" fieldPosition="0">
        <references count="2">
          <reference field="4294967294" count="1" selected="0">
            <x v="1"/>
          </reference>
          <reference field="4" count="1" selected="0">
            <x v="3"/>
          </reference>
        </references>
      </pivotArea>
    </chartFormat>
    <chartFormat chart="4" format="13">
      <pivotArea type="data" outline="0" fieldPosition="0">
        <references count="2">
          <reference field="4294967294" count="1" selected="0">
            <x v="1"/>
          </reference>
          <reference field="4" count="1" selected="0">
            <x v="4"/>
          </reference>
        </references>
      </pivotArea>
    </chartFormat>
    <chartFormat chart="4" format="14">
      <pivotArea type="data" outline="0" fieldPosition="0">
        <references count="2">
          <reference field="4294967294" count="1" selected="0">
            <x v="1"/>
          </reference>
          <reference field="4" count="1" selected="0">
            <x v="5"/>
          </reference>
        </references>
      </pivotArea>
    </chartFormat>
    <chartFormat chart="4" format="15">
      <pivotArea type="data" outline="0" fieldPosition="0">
        <references count="2">
          <reference field="4294967294" count="1" selected="0">
            <x v="1"/>
          </reference>
          <reference field="4"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DC06EE4-7B10-459A-BA0D-2BD57EDB0E8A}"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6">
  <location ref="A62:C66" firstHeaderRow="0" firstDataRow="1" firstDataCol="1"/>
  <pivotFields count="17">
    <pivotField dataField="1" showAll="0"/>
    <pivotField axis="axisRow" showAll="0">
      <items count="4">
        <item x="1"/>
        <item x="2"/>
        <item x="0"/>
        <item t="default"/>
      </items>
    </pivotField>
    <pivotField dataField="1" numFmtId="1" showAll="0"/>
    <pivotField numFmtId="1" showAll="0"/>
    <pivotField showAll="0"/>
    <pivotField showAll="0"/>
    <pivotField showAll="0"/>
    <pivotField showAll="0"/>
    <pivotField showAll="0"/>
    <pivotField showAll="0"/>
    <pivotField numFmtId="1" showAll="0"/>
    <pivotField showAll="0">
      <items count="5">
        <item x="3"/>
        <item x="0"/>
        <item x="2"/>
        <item x="1"/>
        <item t="default"/>
      </items>
    </pivotField>
    <pivotField showAll="0"/>
    <pivotField showAll="0">
      <items count="5">
        <item x="1"/>
        <item x="2"/>
        <item x="0"/>
        <item x="3"/>
        <item t="default"/>
      </items>
    </pivotField>
    <pivotField showAll="0"/>
    <pivotField showAll="0">
      <items count="3">
        <item x="1"/>
        <item x="0"/>
        <item t="default"/>
      </items>
    </pivotField>
    <pivotField showAll="0"/>
  </pivotFields>
  <rowFields count="1">
    <field x="1"/>
  </rowFields>
  <rowItems count="4">
    <i>
      <x/>
    </i>
    <i>
      <x v="1"/>
    </i>
    <i>
      <x v="2"/>
    </i>
    <i t="grand">
      <x/>
    </i>
  </rowItems>
  <colFields count="1">
    <field x="-2"/>
  </colFields>
  <colItems count="2">
    <i>
      <x/>
    </i>
    <i i="1">
      <x v="1"/>
    </i>
  </colItems>
  <dataFields count="2">
    <dataField name="Count of Loan_ID" fld="0" subtotal="count" baseField="0" baseItem="0"/>
    <dataField name="Sum of Principal" fld="2" baseField="0" baseItem="0"/>
  </dataFields>
  <chartFormats count="4">
    <chartFormat chart="11"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1"/>
          </reference>
        </references>
      </pivotArea>
    </chartFormat>
    <chartFormat chart="15" format="4" series="1">
      <pivotArea type="data" outline="0" fieldPosition="0">
        <references count="1">
          <reference field="4294967294" count="1" selected="0">
            <x v="0"/>
          </reference>
        </references>
      </pivotArea>
    </chartFormat>
    <chartFormat chart="1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C4C5FBD-DE4E-428B-9CB3-0CD8926C7239}"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1">
  <location ref="A42:C47" firstHeaderRow="0" firstDataRow="1" firstDataCol="1"/>
  <pivotFields count="17">
    <pivotField dataField="1" showAll="0"/>
    <pivotField showAll="0">
      <items count="4">
        <item x="1"/>
        <item x="2"/>
        <item x="0"/>
        <item t="default"/>
      </items>
    </pivotField>
    <pivotField dataField="1" numFmtId="1" showAll="0"/>
    <pivotField numFmtId="1" showAll="0"/>
    <pivotField showAll="0"/>
    <pivotField showAll="0"/>
    <pivotField showAll="0"/>
    <pivotField showAll="0"/>
    <pivotField showAll="0"/>
    <pivotField showAll="0"/>
    <pivotField numFmtId="1" showAll="0"/>
    <pivotField axis="axisRow" showAll="0">
      <items count="5">
        <item x="3"/>
        <item x="0"/>
        <item x="2"/>
        <item x="1"/>
        <item t="default"/>
      </items>
    </pivotField>
    <pivotField showAll="0"/>
    <pivotField showAll="0">
      <items count="5">
        <item x="1"/>
        <item x="2"/>
        <item x="0"/>
        <item x="3"/>
        <item t="default"/>
      </items>
    </pivotField>
    <pivotField showAll="0"/>
    <pivotField showAll="0">
      <items count="3">
        <item x="1"/>
        <item x="0"/>
        <item t="default"/>
      </items>
    </pivotField>
    <pivotField showAll="0"/>
  </pivotFields>
  <rowFields count="1">
    <field x="11"/>
  </rowFields>
  <rowItems count="5">
    <i>
      <x/>
    </i>
    <i>
      <x v="1"/>
    </i>
    <i>
      <x v="2"/>
    </i>
    <i>
      <x v="3"/>
    </i>
    <i t="grand">
      <x/>
    </i>
  </rowItems>
  <colFields count="1">
    <field x="-2"/>
  </colFields>
  <colItems count="2">
    <i>
      <x/>
    </i>
    <i i="1">
      <x v="1"/>
    </i>
  </colItems>
  <dataFields count="2">
    <dataField name="Sum of Principal" fld="2" baseField="0" baseItem="0"/>
    <dataField name="Count of Loan_ID" fld="0" subtotal="count" baseField="0" baseItem="0"/>
  </dataFields>
  <chartFormats count="4">
    <chartFormat chart="6" format="0" series="1">
      <pivotArea type="data" outline="0" fieldPosition="0">
        <references count="1">
          <reference field="4294967294" count="1" selected="0">
            <x v="1"/>
          </reference>
        </references>
      </pivotArea>
    </chartFormat>
    <chartFormat chart="6" format="1"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0"/>
          </reference>
        </references>
      </pivotArea>
    </chartFormat>
    <chartFormat chart="10" format="6"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536CA72F-072E-4A16-831A-AE4BCCFDC93A}" sourceName="education">
  <pivotTables>
    <pivotTable tabId="6" name="PivotTable1"/>
    <pivotTable tabId="6" name="PivotTable3"/>
    <pivotTable tabId="6" name="PivotTable4"/>
    <pivotTable tabId="6" name="PivotTable5"/>
  </pivotTables>
  <data>
    <tabular pivotCacheId="431079113">
      <items count="4">
        <i x="1" s="1"/>
        <i x="2"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an_status" xr10:uid="{D2096431-6FAB-4DD1-8E27-7DB26869BBBE}" sourceName="loan_status">
  <pivotTables>
    <pivotTable tabId="6" name="PivotTable1"/>
    <pivotTable tabId="6" name="PivotTable3"/>
    <pivotTable tabId="6" name="PivotTable4"/>
    <pivotTable tabId="6" name="PivotTable5"/>
  </pivotTables>
  <data>
    <tabular pivotCacheId="431079113">
      <items count="3">
        <i x="1"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ed" xr10:uid="{941F64B0-E6C9-4856-8249-07134AD48898}" sourceName="age_grouped">
  <pivotTables>
    <pivotTable tabId="6" name="PivotTable1"/>
    <pivotTable tabId="6" name="PivotTable3"/>
    <pivotTable tabId="6" name="PivotTable4"/>
    <pivotTable tabId="6" name="PivotTable5"/>
  </pivotTables>
  <data>
    <tabular pivotCacheId="431079113">
      <items count="4">
        <i x="3" s="1"/>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30525A3E-9EF6-4589-B44F-0B7B5535DDC9}" sourceName="gender">
  <pivotTables>
    <pivotTable tabId="6" name="PivotTable1"/>
    <pivotTable tabId="6" name="PivotTable3"/>
    <pivotTable tabId="6" name="PivotTable4"/>
    <pivotTable tabId="6" name="PivotTable5"/>
  </pivotTables>
  <data>
    <tabular pivotCacheId="431079113">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 xr10:uid="{03A354AB-EAFA-4497-BB91-6523C1EBB285}" cache="Slicer_education" caption="education" rowHeight="241300"/>
  <slicer name="loan_status" xr10:uid="{402614C0-1FC5-4E64-87BD-E14FC28EAC55}" cache="Slicer_loan_status" caption="loan_status" rowHeight="241300"/>
  <slicer name="age_grouped" xr10:uid="{6780B5F8-87DC-4933-9F1D-82184306176E}" cache="Slicer_age_grouped" caption="age_grouped" rowHeight="241300"/>
  <slicer name="gender" xr10:uid="{B3276D86-DAB9-4831-B9F7-394C1087B2D0}" cache="Slicer_gender" caption="gender"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rinterSettings" Target="../printerSettings/printerSettings3.bin"/><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ABF8A6-6694-4A26-933A-EEE2335D0A6E}">
  <dimension ref="A1:Q501"/>
  <sheetViews>
    <sheetView tabSelected="1" topLeftCell="A470" workbookViewId="0">
      <selection activeCell="G1" sqref="G1:G1048576"/>
    </sheetView>
  </sheetViews>
  <sheetFormatPr defaultRowHeight="15" x14ac:dyDescent="0.25"/>
  <cols>
    <col min="1" max="1" width="22.140625" style="1" customWidth="1"/>
    <col min="2" max="2" width="20.85546875" style="2" bestFit="1" customWidth="1"/>
    <col min="3" max="4" width="9.140625" style="3"/>
    <col min="5" max="5" width="14.140625" style="18" bestFit="1" customWidth="1"/>
    <col min="6" max="6" width="31.42578125" style="18" customWidth="1"/>
    <col min="7" max="7" width="50.140625" style="19" customWidth="1"/>
    <col min="8" max="8" width="26" style="3" customWidth="1"/>
    <col min="9" max="9" width="26" style="2" customWidth="1"/>
    <col min="10" max="10" width="29" style="1" customWidth="1"/>
    <col min="11" max="11" width="9.140625" style="3"/>
    <col min="12" max="12" width="15.5703125" style="2" customWidth="1"/>
    <col min="13" max="13" width="19" customWidth="1"/>
    <col min="14" max="14" width="21.28515625" style="2" customWidth="1"/>
    <col min="15" max="15" width="21.28515625" style="1" customWidth="1"/>
    <col min="16" max="16" width="20.140625" style="2" customWidth="1"/>
    <col min="17" max="17" width="20.140625" customWidth="1"/>
  </cols>
  <sheetData>
    <row r="1" spans="1:17" x14ac:dyDescent="0.25">
      <c r="A1" s="1" t="s">
        <v>0</v>
      </c>
      <c r="B1" s="2" t="s">
        <v>1</v>
      </c>
      <c r="C1" s="3" t="s">
        <v>2</v>
      </c>
      <c r="D1" s="3" t="s">
        <v>3</v>
      </c>
      <c r="E1" s="18" t="s">
        <v>4</v>
      </c>
      <c r="F1" s="18" t="s">
        <v>5</v>
      </c>
      <c r="G1" s="19" t="s">
        <v>6</v>
      </c>
      <c r="H1" s="3" t="s">
        <v>7</v>
      </c>
      <c r="I1" s="2" t="s">
        <v>728</v>
      </c>
      <c r="J1" s="1" t="s">
        <v>731</v>
      </c>
      <c r="K1" s="3" t="s">
        <v>8</v>
      </c>
      <c r="L1" s="2" t="s">
        <v>741</v>
      </c>
      <c r="M1" t="s">
        <v>742</v>
      </c>
      <c r="N1" s="2" t="s">
        <v>9</v>
      </c>
      <c r="O1" s="1" t="s">
        <v>732</v>
      </c>
      <c r="P1" s="2" t="s">
        <v>733</v>
      </c>
      <c r="Q1" t="s">
        <v>734</v>
      </c>
    </row>
    <row r="2" spans="1:17" x14ac:dyDescent="0.25">
      <c r="A2" s="1" t="s">
        <v>10</v>
      </c>
      <c r="B2" s="2" t="s">
        <v>11</v>
      </c>
      <c r="C2" s="3">
        <v>1000</v>
      </c>
      <c r="D2" s="3">
        <v>30</v>
      </c>
      <c r="E2" s="18">
        <v>42591</v>
      </c>
      <c r="F2" s="18">
        <v>42561</v>
      </c>
      <c r="G2" s="19" t="s">
        <v>12</v>
      </c>
      <c r="I2" s="2" t="s">
        <v>13</v>
      </c>
      <c r="J2" s="1" t="str">
        <f>IF(H2 = " ", "Current", IF(H2 = 0, "Current", IF(H2 &lt;= 39, "1 - 39 Days", IF(H2 &lt;= 80, "40 - 80 Days"))))</f>
        <v>Current</v>
      </c>
      <c r="K2" s="3">
        <v>45</v>
      </c>
      <c r="L2" s="2" t="s">
        <v>743</v>
      </c>
      <c r="M2" t="str">
        <f>IF(K2 &lt;= 25, " Young Adults", IF(K2 &lt;= 33, "Middle Aged", IF(K2 &lt;= 49, "Mature", IF(K2 &lt;= 100, "Old"))))</f>
        <v>Mature</v>
      </c>
      <c r="N2" s="2" t="s">
        <v>737</v>
      </c>
      <c r="O2" s="1" t="str">
        <f>PROPER(N2)</f>
        <v>High School Or Below</v>
      </c>
      <c r="P2" s="2" t="s">
        <v>735</v>
      </c>
      <c r="Q2" t="str">
        <f>PROPER(P2)</f>
        <v>Male</v>
      </c>
    </row>
    <row r="3" spans="1:17" x14ac:dyDescent="0.25">
      <c r="A3" s="1" t="s">
        <v>14</v>
      </c>
      <c r="B3" s="2" t="s">
        <v>11</v>
      </c>
      <c r="C3" s="3">
        <v>1000</v>
      </c>
      <c r="D3" s="3">
        <v>30</v>
      </c>
      <c r="E3" s="18">
        <v>42591</v>
      </c>
      <c r="F3" s="18">
        <v>42561</v>
      </c>
      <c r="G3" s="19">
        <v>42561.375</v>
      </c>
      <c r="I3" s="2" t="s">
        <v>13</v>
      </c>
      <c r="J3" s="1" t="str">
        <f t="shared" ref="J3:J66" si="0">IF(H3 = " ", "Current", IF(H3 = 0, "Current", IF(H3 &lt;= 39, "1 - 39 Days", IF(H3 &lt;= 80, "40 - 80 Days"))))</f>
        <v>Current</v>
      </c>
      <c r="K3" s="3">
        <v>50</v>
      </c>
      <c r="L3" s="2" t="s">
        <v>744</v>
      </c>
      <c r="M3" t="str">
        <f t="shared" ref="M3:M66" si="1">IF(K3 &lt;= 25, " Young Adults", IF(K3 &lt;= 33, "Middle Aged", IF(K3 &lt;= 49, "Mature", IF(K3 &lt;= 100, "Old"))))</f>
        <v>Old</v>
      </c>
      <c r="N3" s="2" t="s">
        <v>738</v>
      </c>
      <c r="O3" s="1" t="str">
        <f t="shared" ref="O3:O66" si="2">PROPER(N3)</f>
        <v>Bachelor</v>
      </c>
      <c r="P3" s="2" t="s">
        <v>736</v>
      </c>
      <c r="Q3" t="str">
        <f t="shared" ref="Q3:Q66" si="3">PROPER(P3)</f>
        <v>Female</v>
      </c>
    </row>
    <row r="4" spans="1:17" x14ac:dyDescent="0.25">
      <c r="A4" s="1" t="s">
        <v>15</v>
      </c>
      <c r="B4" s="2" t="s">
        <v>11</v>
      </c>
      <c r="C4" s="3">
        <v>1000</v>
      </c>
      <c r="D4" s="3">
        <v>30</v>
      </c>
      <c r="E4" s="18">
        <v>42591</v>
      </c>
      <c r="F4" s="18">
        <v>42561</v>
      </c>
      <c r="G4" s="19" t="s">
        <v>16</v>
      </c>
      <c r="I4" s="2" t="s">
        <v>13</v>
      </c>
      <c r="J4" s="1" t="str">
        <f t="shared" si="0"/>
        <v>Current</v>
      </c>
      <c r="K4" s="3">
        <v>33</v>
      </c>
      <c r="L4" s="2" t="s">
        <v>745</v>
      </c>
      <c r="M4" t="str">
        <f t="shared" si="1"/>
        <v>Middle Aged</v>
      </c>
      <c r="N4" s="2" t="s">
        <v>738</v>
      </c>
      <c r="O4" s="1" t="str">
        <f t="shared" si="2"/>
        <v>Bachelor</v>
      </c>
      <c r="P4" s="2" t="s">
        <v>736</v>
      </c>
      <c r="Q4" t="str">
        <f t="shared" si="3"/>
        <v>Female</v>
      </c>
    </row>
    <row r="5" spans="1:17" x14ac:dyDescent="0.25">
      <c r="A5" s="1" t="s">
        <v>17</v>
      </c>
      <c r="B5" s="2" t="s">
        <v>11</v>
      </c>
      <c r="C5" s="3">
        <v>1000</v>
      </c>
      <c r="D5" s="3">
        <v>15</v>
      </c>
      <c r="E5" s="18">
        <v>42591</v>
      </c>
      <c r="F5" s="18" t="s">
        <v>18</v>
      </c>
      <c r="G5" s="19" t="s">
        <v>19</v>
      </c>
      <c r="I5" s="2" t="s">
        <v>13</v>
      </c>
      <c r="J5" s="1" t="str">
        <f t="shared" si="0"/>
        <v>Current</v>
      </c>
      <c r="K5" s="3">
        <v>27</v>
      </c>
      <c r="L5" s="2" t="s">
        <v>745</v>
      </c>
      <c r="M5" t="str">
        <f t="shared" si="1"/>
        <v>Middle Aged</v>
      </c>
      <c r="N5" s="2" t="s">
        <v>739</v>
      </c>
      <c r="O5" s="1" t="str">
        <f t="shared" si="2"/>
        <v>College</v>
      </c>
      <c r="P5" s="2" t="s">
        <v>735</v>
      </c>
      <c r="Q5" t="str">
        <f t="shared" si="3"/>
        <v>Male</v>
      </c>
    </row>
    <row r="6" spans="1:17" x14ac:dyDescent="0.25">
      <c r="A6" s="1" t="s">
        <v>20</v>
      </c>
      <c r="B6" s="2" t="s">
        <v>11</v>
      </c>
      <c r="C6" s="3">
        <v>1000</v>
      </c>
      <c r="D6" s="3">
        <v>30</v>
      </c>
      <c r="E6" s="18">
        <v>42622</v>
      </c>
      <c r="F6" s="18">
        <v>42592</v>
      </c>
      <c r="G6" s="19" t="s">
        <v>21</v>
      </c>
      <c r="I6" s="2" t="s">
        <v>13</v>
      </c>
      <c r="J6" s="1" t="str">
        <f t="shared" si="0"/>
        <v>Current</v>
      </c>
      <c r="K6" s="3">
        <v>28</v>
      </c>
      <c r="L6" s="2" t="s">
        <v>745</v>
      </c>
      <c r="M6" t="str">
        <f t="shared" si="1"/>
        <v>Middle Aged</v>
      </c>
      <c r="N6" s="2" t="s">
        <v>739</v>
      </c>
      <c r="O6" s="1" t="str">
        <f t="shared" si="2"/>
        <v>College</v>
      </c>
      <c r="P6" s="2" t="s">
        <v>736</v>
      </c>
      <c r="Q6" t="str">
        <f t="shared" si="3"/>
        <v>Female</v>
      </c>
    </row>
    <row r="7" spans="1:17" x14ac:dyDescent="0.25">
      <c r="A7" s="1" t="s">
        <v>22</v>
      </c>
      <c r="B7" s="2" t="s">
        <v>11</v>
      </c>
      <c r="C7" s="3">
        <v>300</v>
      </c>
      <c r="D7" s="3">
        <v>7</v>
      </c>
      <c r="E7" s="18">
        <v>42622</v>
      </c>
      <c r="F7" s="18" t="s">
        <v>23</v>
      </c>
      <c r="G7" s="19">
        <v>42622.572916666664</v>
      </c>
      <c r="I7" s="2" t="s">
        <v>13</v>
      </c>
      <c r="J7" s="1" t="str">
        <f t="shared" si="0"/>
        <v>Current</v>
      </c>
      <c r="K7" s="3">
        <v>35</v>
      </c>
      <c r="L7" s="2" t="s">
        <v>743</v>
      </c>
      <c r="M7" t="str">
        <f t="shared" si="1"/>
        <v>Mature</v>
      </c>
      <c r="N7" s="2" t="s">
        <v>740</v>
      </c>
      <c r="O7" s="1" t="str">
        <f t="shared" si="2"/>
        <v>Master Or Above</v>
      </c>
      <c r="P7" s="2" t="s">
        <v>735</v>
      </c>
      <c r="Q7" t="str">
        <f t="shared" si="3"/>
        <v>Male</v>
      </c>
    </row>
    <row r="8" spans="1:17" x14ac:dyDescent="0.25">
      <c r="A8" s="1" t="s">
        <v>24</v>
      </c>
      <c r="B8" s="2" t="s">
        <v>11</v>
      </c>
      <c r="C8" s="3">
        <v>1000</v>
      </c>
      <c r="D8" s="3">
        <v>30</v>
      </c>
      <c r="E8" s="18">
        <v>42622</v>
      </c>
      <c r="F8" s="18">
        <v>42592</v>
      </c>
      <c r="G8" s="19">
        <v>42561.963194444441</v>
      </c>
      <c r="I8" s="2" t="s">
        <v>13</v>
      </c>
      <c r="J8" s="1" t="str">
        <f t="shared" si="0"/>
        <v>Current</v>
      </c>
      <c r="K8" s="3">
        <v>29</v>
      </c>
      <c r="L8" s="2" t="s">
        <v>745</v>
      </c>
      <c r="M8" t="str">
        <f t="shared" si="1"/>
        <v>Middle Aged</v>
      </c>
      <c r="N8" s="2" t="s">
        <v>739</v>
      </c>
      <c r="O8" s="1" t="str">
        <f t="shared" si="2"/>
        <v>College</v>
      </c>
      <c r="P8" s="2" t="s">
        <v>735</v>
      </c>
      <c r="Q8" t="str">
        <f t="shared" si="3"/>
        <v>Male</v>
      </c>
    </row>
    <row r="9" spans="1:17" x14ac:dyDescent="0.25">
      <c r="A9" s="1" t="s">
        <v>25</v>
      </c>
      <c r="B9" s="2" t="s">
        <v>11</v>
      </c>
      <c r="C9" s="3">
        <v>1000</v>
      </c>
      <c r="D9" s="3">
        <v>30</v>
      </c>
      <c r="E9" s="18">
        <v>42622</v>
      </c>
      <c r="F9" s="18">
        <v>42592</v>
      </c>
      <c r="G9" s="19">
        <v>42500.856249999997</v>
      </c>
      <c r="I9" s="2" t="s">
        <v>13</v>
      </c>
      <c r="J9" s="1" t="str">
        <f t="shared" si="0"/>
        <v>Current</v>
      </c>
      <c r="K9" s="3">
        <v>36</v>
      </c>
      <c r="L9" s="2" t="s">
        <v>743</v>
      </c>
      <c r="M9" t="str">
        <f t="shared" si="1"/>
        <v>Mature</v>
      </c>
      <c r="N9" s="2" t="s">
        <v>739</v>
      </c>
      <c r="O9" s="1" t="str">
        <f t="shared" si="2"/>
        <v>College</v>
      </c>
      <c r="P9" s="2" t="s">
        <v>735</v>
      </c>
      <c r="Q9" t="str">
        <f t="shared" si="3"/>
        <v>Male</v>
      </c>
    </row>
    <row r="10" spans="1:17" x14ac:dyDescent="0.25">
      <c r="A10" s="1" t="s">
        <v>26</v>
      </c>
      <c r="B10" s="2" t="s">
        <v>11</v>
      </c>
      <c r="C10" s="3">
        <v>1000</v>
      </c>
      <c r="D10" s="3">
        <v>30</v>
      </c>
      <c r="E10" s="18">
        <v>42622</v>
      </c>
      <c r="F10" s="18">
        <v>42592</v>
      </c>
      <c r="G10" s="19">
        <v>42592.666666666664</v>
      </c>
      <c r="I10" s="2" t="s">
        <v>13</v>
      </c>
      <c r="J10" s="1" t="str">
        <f t="shared" si="0"/>
        <v>Current</v>
      </c>
      <c r="K10" s="3">
        <v>28</v>
      </c>
      <c r="L10" s="2" t="s">
        <v>745</v>
      </c>
      <c r="M10" t="str">
        <f t="shared" si="1"/>
        <v>Middle Aged</v>
      </c>
      <c r="N10" s="2" t="s">
        <v>739</v>
      </c>
      <c r="O10" s="1" t="str">
        <f t="shared" si="2"/>
        <v>College</v>
      </c>
      <c r="P10" s="2" t="s">
        <v>735</v>
      </c>
      <c r="Q10" t="str">
        <f t="shared" si="3"/>
        <v>Male</v>
      </c>
    </row>
    <row r="11" spans="1:17" x14ac:dyDescent="0.25">
      <c r="A11" s="1" t="s">
        <v>27</v>
      </c>
      <c r="B11" s="2" t="s">
        <v>11</v>
      </c>
      <c r="C11" s="3">
        <v>800</v>
      </c>
      <c r="D11" s="3">
        <v>15</v>
      </c>
      <c r="E11" s="18">
        <v>42652</v>
      </c>
      <c r="F11" s="18" t="s">
        <v>28</v>
      </c>
      <c r="G11" s="19" t="s">
        <v>29</v>
      </c>
      <c r="I11" s="2" t="s">
        <v>13</v>
      </c>
      <c r="J11" s="1" t="str">
        <f t="shared" si="0"/>
        <v>Current</v>
      </c>
      <c r="K11" s="3">
        <v>26</v>
      </c>
      <c r="L11" s="2" t="s">
        <v>745</v>
      </c>
      <c r="M11" t="str">
        <f t="shared" si="1"/>
        <v>Middle Aged</v>
      </c>
      <c r="N11" s="2" t="s">
        <v>739</v>
      </c>
      <c r="O11" s="1" t="str">
        <f t="shared" si="2"/>
        <v>College</v>
      </c>
      <c r="P11" s="2" t="s">
        <v>735</v>
      </c>
      <c r="Q11" t="str">
        <f t="shared" si="3"/>
        <v>Male</v>
      </c>
    </row>
    <row r="12" spans="1:17" x14ac:dyDescent="0.25">
      <c r="A12" s="1" t="s">
        <v>30</v>
      </c>
      <c r="B12" s="2" t="s">
        <v>11</v>
      </c>
      <c r="C12" s="3">
        <v>300</v>
      </c>
      <c r="D12" s="3">
        <v>7</v>
      </c>
      <c r="E12" s="18">
        <v>42652</v>
      </c>
      <c r="F12" s="18" t="s">
        <v>31</v>
      </c>
      <c r="G12" s="19">
        <v>42683.799305555556</v>
      </c>
      <c r="I12" s="2" t="s">
        <v>13</v>
      </c>
      <c r="J12" s="1" t="str">
        <f t="shared" si="0"/>
        <v>Current</v>
      </c>
      <c r="K12" s="3">
        <v>29</v>
      </c>
      <c r="L12" s="2" t="s">
        <v>745</v>
      </c>
      <c r="M12" t="str">
        <f t="shared" si="1"/>
        <v>Middle Aged</v>
      </c>
      <c r="N12" s="2" t="s">
        <v>739</v>
      </c>
      <c r="O12" s="1" t="str">
        <f t="shared" si="2"/>
        <v>College</v>
      </c>
      <c r="P12" s="2" t="s">
        <v>735</v>
      </c>
      <c r="Q12" t="str">
        <f t="shared" si="3"/>
        <v>Male</v>
      </c>
    </row>
    <row r="13" spans="1:17" x14ac:dyDescent="0.25">
      <c r="A13" s="1" t="s">
        <v>32</v>
      </c>
      <c r="B13" s="2" t="s">
        <v>11</v>
      </c>
      <c r="C13" s="3">
        <v>1000</v>
      </c>
      <c r="D13" s="3">
        <v>15</v>
      </c>
      <c r="E13" s="18">
        <v>42652</v>
      </c>
      <c r="F13" s="18">
        <v>42623</v>
      </c>
      <c r="G13" s="19">
        <v>42623.666666666664</v>
      </c>
      <c r="I13" s="2" t="s">
        <v>13</v>
      </c>
      <c r="J13" s="1" t="str">
        <f t="shared" si="0"/>
        <v>Current</v>
      </c>
      <c r="K13" s="3">
        <v>39</v>
      </c>
      <c r="L13" s="2" t="s">
        <v>743</v>
      </c>
      <c r="M13" t="str">
        <f t="shared" si="1"/>
        <v>Mature</v>
      </c>
      <c r="N13" s="2" t="s">
        <v>737</v>
      </c>
      <c r="O13" s="1" t="str">
        <f t="shared" si="2"/>
        <v>High School Or Below</v>
      </c>
      <c r="P13" s="2" t="s">
        <v>735</v>
      </c>
      <c r="Q13" t="str">
        <f t="shared" si="3"/>
        <v>Male</v>
      </c>
    </row>
    <row r="14" spans="1:17" x14ac:dyDescent="0.25">
      <c r="A14" s="1" t="s">
        <v>33</v>
      </c>
      <c r="B14" s="2" t="s">
        <v>11</v>
      </c>
      <c r="C14" s="3">
        <v>1000</v>
      </c>
      <c r="D14" s="3">
        <v>30</v>
      </c>
      <c r="E14" s="18">
        <v>42652</v>
      </c>
      <c r="F14" s="18">
        <v>42623</v>
      </c>
      <c r="G14" s="19">
        <v>42561.980555555558</v>
      </c>
      <c r="I14" s="2" t="s">
        <v>13</v>
      </c>
      <c r="J14" s="1" t="str">
        <f t="shared" si="0"/>
        <v>Current</v>
      </c>
      <c r="K14" s="3">
        <v>26</v>
      </c>
      <c r="L14" s="2" t="s">
        <v>745</v>
      </c>
      <c r="M14" t="str">
        <f t="shared" si="1"/>
        <v>Middle Aged</v>
      </c>
      <c r="N14" s="2" t="s">
        <v>739</v>
      </c>
      <c r="O14" s="1" t="str">
        <f t="shared" si="2"/>
        <v>College</v>
      </c>
      <c r="P14" s="2" t="s">
        <v>735</v>
      </c>
      <c r="Q14" t="str">
        <f t="shared" si="3"/>
        <v>Male</v>
      </c>
    </row>
    <row r="15" spans="1:17" x14ac:dyDescent="0.25">
      <c r="A15" s="1" t="s">
        <v>34</v>
      </c>
      <c r="B15" s="2" t="s">
        <v>11</v>
      </c>
      <c r="C15" s="3">
        <v>900</v>
      </c>
      <c r="D15" s="3">
        <v>7</v>
      </c>
      <c r="E15" s="18">
        <v>42652</v>
      </c>
      <c r="F15" s="18" t="s">
        <v>31</v>
      </c>
      <c r="G15" s="19" t="s">
        <v>35</v>
      </c>
      <c r="I15" s="2" t="s">
        <v>13</v>
      </c>
      <c r="J15" s="1" t="str">
        <f t="shared" si="0"/>
        <v>Current</v>
      </c>
      <c r="K15" s="3">
        <v>26</v>
      </c>
      <c r="L15" s="2" t="s">
        <v>745</v>
      </c>
      <c r="M15" t="str">
        <f t="shared" si="1"/>
        <v>Middle Aged</v>
      </c>
      <c r="N15" s="2" t="s">
        <v>739</v>
      </c>
      <c r="O15" s="1" t="str">
        <f t="shared" si="2"/>
        <v>College</v>
      </c>
      <c r="P15" s="2" t="s">
        <v>736</v>
      </c>
      <c r="Q15" t="str">
        <f t="shared" si="3"/>
        <v>Female</v>
      </c>
    </row>
    <row r="16" spans="1:17" x14ac:dyDescent="0.25">
      <c r="A16" s="1" t="s">
        <v>36</v>
      </c>
      <c r="B16" s="2" t="s">
        <v>11</v>
      </c>
      <c r="C16" s="3">
        <v>1000</v>
      </c>
      <c r="D16" s="3">
        <v>7</v>
      </c>
      <c r="E16" s="18">
        <v>42652</v>
      </c>
      <c r="F16" s="18" t="s">
        <v>31</v>
      </c>
      <c r="G16" s="19" t="s">
        <v>37</v>
      </c>
      <c r="I16" s="2" t="s">
        <v>13</v>
      </c>
      <c r="J16" s="1" t="str">
        <f t="shared" si="0"/>
        <v>Current</v>
      </c>
      <c r="K16" s="3">
        <v>27</v>
      </c>
      <c r="L16" s="2" t="s">
        <v>745</v>
      </c>
      <c r="M16" t="str">
        <f t="shared" si="1"/>
        <v>Middle Aged</v>
      </c>
      <c r="N16" s="2" t="s">
        <v>737</v>
      </c>
      <c r="O16" s="1" t="str">
        <f t="shared" si="2"/>
        <v>High School Or Below</v>
      </c>
      <c r="P16" s="2" t="s">
        <v>735</v>
      </c>
      <c r="Q16" t="str">
        <f t="shared" si="3"/>
        <v>Male</v>
      </c>
    </row>
    <row r="17" spans="1:17" x14ac:dyDescent="0.25">
      <c r="A17" s="1" t="s">
        <v>38</v>
      </c>
      <c r="B17" s="2" t="s">
        <v>11</v>
      </c>
      <c r="C17" s="3">
        <v>800</v>
      </c>
      <c r="D17" s="3">
        <v>15</v>
      </c>
      <c r="E17" s="18">
        <v>42652</v>
      </c>
      <c r="F17" s="18" t="s">
        <v>39</v>
      </c>
      <c r="G17" s="19" t="s">
        <v>40</v>
      </c>
      <c r="I17" s="2" t="s">
        <v>13</v>
      </c>
      <c r="J17" s="1" t="str">
        <f t="shared" si="0"/>
        <v>Current</v>
      </c>
      <c r="K17" s="3">
        <v>26</v>
      </c>
      <c r="L17" s="2" t="s">
        <v>745</v>
      </c>
      <c r="M17" t="str">
        <f t="shared" si="1"/>
        <v>Middle Aged</v>
      </c>
      <c r="N17" s="2" t="s">
        <v>739</v>
      </c>
      <c r="O17" s="1" t="str">
        <f t="shared" si="2"/>
        <v>College</v>
      </c>
      <c r="P17" s="2" t="s">
        <v>735</v>
      </c>
      <c r="Q17" t="str">
        <f t="shared" si="3"/>
        <v>Male</v>
      </c>
    </row>
    <row r="18" spans="1:17" x14ac:dyDescent="0.25">
      <c r="A18" s="1" t="s">
        <v>41</v>
      </c>
      <c r="B18" s="2" t="s">
        <v>11</v>
      </c>
      <c r="C18" s="3">
        <v>1000</v>
      </c>
      <c r="D18" s="3">
        <v>30</v>
      </c>
      <c r="E18" s="18">
        <v>42652</v>
      </c>
      <c r="F18" s="18">
        <v>42623</v>
      </c>
      <c r="G18" s="19" t="s">
        <v>42</v>
      </c>
      <c r="I18" s="2" t="s">
        <v>13</v>
      </c>
      <c r="J18" s="1" t="str">
        <f t="shared" si="0"/>
        <v>Current</v>
      </c>
      <c r="K18" s="3">
        <v>40</v>
      </c>
      <c r="L18" s="2" t="s">
        <v>743</v>
      </c>
      <c r="M18" t="str">
        <f t="shared" si="1"/>
        <v>Mature</v>
      </c>
      <c r="N18" s="2" t="s">
        <v>737</v>
      </c>
      <c r="O18" s="1" t="str">
        <f t="shared" si="2"/>
        <v>High School Or Below</v>
      </c>
      <c r="P18" s="2" t="s">
        <v>735</v>
      </c>
      <c r="Q18" t="str">
        <f t="shared" si="3"/>
        <v>Male</v>
      </c>
    </row>
    <row r="19" spans="1:17" x14ac:dyDescent="0.25">
      <c r="A19" s="1" t="s">
        <v>43</v>
      </c>
      <c r="B19" s="2" t="s">
        <v>11</v>
      </c>
      <c r="C19" s="3">
        <v>1000</v>
      </c>
      <c r="D19" s="3">
        <v>15</v>
      </c>
      <c r="E19" s="18">
        <v>42652</v>
      </c>
      <c r="F19" s="18" t="s">
        <v>39</v>
      </c>
      <c r="G19" s="19" t="s">
        <v>44</v>
      </c>
      <c r="I19" s="2" t="s">
        <v>13</v>
      </c>
      <c r="J19" s="1" t="str">
        <f t="shared" si="0"/>
        <v>Current</v>
      </c>
      <c r="K19" s="3">
        <v>32</v>
      </c>
      <c r="L19" s="2" t="s">
        <v>745</v>
      </c>
      <c r="M19" t="str">
        <f t="shared" si="1"/>
        <v>Middle Aged</v>
      </c>
      <c r="N19" s="2" t="s">
        <v>737</v>
      </c>
      <c r="O19" s="1" t="str">
        <f t="shared" si="2"/>
        <v>High School Or Below</v>
      </c>
      <c r="P19" s="2" t="s">
        <v>735</v>
      </c>
      <c r="Q19" t="str">
        <f t="shared" si="3"/>
        <v>Male</v>
      </c>
    </row>
    <row r="20" spans="1:17" x14ac:dyDescent="0.25">
      <c r="A20" s="1" t="s">
        <v>45</v>
      </c>
      <c r="B20" s="2" t="s">
        <v>11</v>
      </c>
      <c r="C20" s="3">
        <v>1000</v>
      </c>
      <c r="D20" s="3">
        <v>30</v>
      </c>
      <c r="E20" s="18">
        <v>42652</v>
      </c>
      <c r="F20" s="18">
        <v>42623</v>
      </c>
      <c r="G20" s="19">
        <v>42500.920138888891</v>
      </c>
      <c r="I20" s="2" t="s">
        <v>13</v>
      </c>
      <c r="J20" s="1" t="str">
        <f t="shared" si="0"/>
        <v>Current</v>
      </c>
      <c r="K20" s="3">
        <v>32</v>
      </c>
      <c r="L20" s="2" t="s">
        <v>745</v>
      </c>
      <c r="M20" t="str">
        <f t="shared" si="1"/>
        <v>Middle Aged</v>
      </c>
      <c r="N20" s="2" t="s">
        <v>737</v>
      </c>
      <c r="O20" s="1" t="str">
        <f t="shared" si="2"/>
        <v>High School Or Below</v>
      </c>
      <c r="P20" s="2" t="s">
        <v>735</v>
      </c>
      <c r="Q20" t="str">
        <f t="shared" si="3"/>
        <v>Male</v>
      </c>
    </row>
    <row r="21" spans="1:17" x14ac:dyDescent="0.25">
      <c r="A21" s="1" t="s">
        <v>46</v>
      </c>
      <c r="B21" s="2" t="s">
        <v>11</v>
      </c>
      <c r="C21" s="3">
        <v>800</v>
      </c>
      <c r="D21" s="3">
        <v>30</v>
      </c>
      <c r="E21" s="18">
        <v>42652</v>
      </c>
      <c r="F21" s="18">
        <v>42623</v>
      </c>
      <c r="G21" s="19" t="s">
        <v>47</v>
      </c>
      <c r="I21" s="2" t="s">
        <v>13</v>
      </c>
      <c r="J21" s="1" t="str">
        <f t="shared" si="0"/>
        <v>Current</v>
      </c>
      <c r="K21" s="3">
        <v>26</v>
      </c>
      <c r="L21" s="2" t="s">
        <v>745</v>
      </c>
      <c r="M21" t="str">
        <f t="shared" si="1"/>
        <v>Middle Aged</v>
      </c>
      <c r="N21" s="2" t="s">
        <v>739</v>
      </c>
      <c r="O21" s="1" t="str">
        <f t="shared" si="2"/>
        <v>College</v>
      </c>
      <c r="P21" s="2" t="s">
        <v>735</v>
      </c>
      <c r="Q21" t="str">
        <f t="shared" si="3"/>
        <v>Male</v>
      </c>
    </row>
    <row r="22" spans="1:17" x14ac:dyDescent="0.25">
      <c r="A22" s="1" t="s">
        <v>48</v>
      </c>
      <c r="B22" s="2" t="s">
        <v>11</v>
      </c>
      <c r="C22" s="3">
        <v>1000</v>
      </c>
      <c r="D22" s="3">
        <v>30</v>
      </c>
      <c r="E22" s="18">
        <v>42652</v>
      </c>
      <c r="F22" s="18">
        <v>42623</v>
      </c>
      <c r="G22" s="19">
        <v>42623.375</v>
      </c>
      <c r="I22" s="2" t="s">
        <v>13</v>
      </c>
      <c r="J22" s="1" t="str">
        <f t="shared" si="0"/>
        <v>Current</v>
      </c>
      <c r="K22" s="3">
        <v>26</v>
      </c>
      <c r="L22" s="2" t="s">
        <v>745</v>
      </c>
      <c r="M22" t="str">
        <f t="shared" si="1"/>
        <v>Middle Aged</v>
      </c>
      <c r="N22" s="2" t="s">
        <v>739</v>
      </c>
      <c r="O22" s="1" t="str">
        <f t="shared" si="2"/>
        <v>College</v>
      </c>
      <c r="P22" s="2" t="s">
        <v>735</v>
      </c>
      <c r="Q22" t="str">
        <f t="shared" si="3"/>
        <v>Male</v>
      </c>
    </row>
    <row r="23" spans="1:17" x14ac:dyDescent="0.25">
      <c r="A23" s="1" t="s">
        <v>49</v>
      </c>
      <c r="B23" s="2" t="s">
        <v>11</v>
      </c>
      <c r="C23" s="3">
        <v>1000</v>
      </c>
      <c r="D23" s="3">
        <v>30</v>
      </c>
      <c r="E23" s="18">
        <v>42652</v>
      </c>
      <c r="F23" s="18">
        <v>42623</v>
      </c>
      <c r="G23" s="19">
        <v>42592.714583333334</v>
      </c>
      <c r="I23" s="2" t="s">
        <v>13</v>
      </c>
      <c r="J23" s="1" t="str">
        <f t="shared" si="0"/>
        <v>Current</v>
      </c>
      <c r="K23" s="3">
        <v>43</v>
      </c>
      <c r="L23" s="2" t="s">
        <v>743</v>
      </c>
      <c r="M23" t="str">
        <f t="shared" si="1"/>
        <v>Mature</v>
      </c>
      <c r="N23" s="2" t="s">
        <v>737</v>
      </c>
      <c r="O23" s="1" t="str">
        <f t="shared" si="2"/>
        <v>High School Or Below</v>
      </c>
      <c r="P23" s="2" t="s">
        <v>736</v>
      </c>
      <c r="Q23" t="str">
        <f t="shared" si="3"/>
        <v>Female</v>
      </c>
    </row>
    <row r="24" spans="1:17" x14ac:dyDescent="0.25">
      <c r="A24" s="1" t="s">
        <v>50</v>
      </c>
      <c r="B24" s="2" t="s">
        <v>11</v>
      </c>
      <c r="C24" s="3">
        <v>1000</v>
      </c>
      <c r="D24" s="3">
        <v>30</v>
      </c>
      <c r="E24" s="18">
        <v>42652</v>
      </c>
      <c r="F24" s="18">
        <v>42623</v>
      </c>
      <c r="G24" s="19">
        <v>42623.958333333336</v>
      </c>
      <c r="I24" s="2" t="s">
        <v>13</v>
      </c>
      <c r="J24" s="1" t="str">
        <f t="shared" si="0"/>
        <v>Current</v>
      </c>
      <c r="K24" s="3">
        <v>25</v>
      </c>
      <c r="L24" s="2" t="s">
        <v>746</v>
      </c>
      <c r="M24" t="str">
        <f t="shared" si="1"/>
        <v xml:space="preserve"> Young Adults</v>
      </c>
      <c r="N24" s="2" t="s">
        <v>737</v>
      </c>
      <c r="O24" s="1" t="str">
        <f t="shared" si="2"/>
        <v>High School Or Below</v>
      </c>
      <c r="P24" s="2" t="s">
        <v>735</v>
      </c>
      <c r="Q24" t="str">
        <f t="shared" si="3"/>
        <v>Male</v>
      </c>
    </row>
    <row r="25" spans="1:17" x14ac:dyDescent="0.25">
      <c r="A25" s="1" t="s">
        <v>51</v>
      </c>
      <c r="B25" s="2" t="s">
        <v>11</v>
      </c>
      <c r="C25" s="3">
        <v>1000</v>
      </c>
      <c r="D25" s="3">
        <v>15</v>
      </c>
      <c r="E25" s="18">
        <v>42652</v>
      </c>
      <c r="F25" s="18" t="s">
        <v>39</v>
      </c>
      <c r="G25" s="19" t="s">
        <v>29</v>
      </c>
      <c r="I25" s="2" t="s">
        <v>13</v>
      </c>
      <c r="J25" s="1" t="str">
        <f t="shared" si="0"/>
        <v>Current</v>
      </c>
      <c r="K25" s="3">
        <v>26</v>
      </c>
      <c r="L25" s="2" t="s">
        <v>745</v>
      </c>
      <c r="M25" t="str">
        <f t="shared" si="1"/>
        <v>Middle Aged</v>
      </c>
      <c r="N25" s="2" t="s">
        <v>739</v>
      </c>
      <c r="O25" s="1" t="str">
        <f t="shared" si="2"/>
        <v>College</v>
      </c>
      <c r="P25" s="2" t="s">
        <v>735</v>
      </c>
      <c r="Q25" t="str">
        <f t="shared" si="3"/>
        <v>Male</v>
      </c>
    </row>
    <row r="26" spans="1:17" x14ac:dyDescent="0.25">
      <c r="A26" s="1" t="s">
        <v>52</v>
      </c>
      <c r="B26" s="2" t="s">
        <v>11</v>
      </c>
      <c r="C26" s="3">
        <v>1000</v>
      </c>
      <c r="D26" s="3">
        <v>30</v>
      </c>
      <c r="E26" s="18">
        <v>42652</v>
      </c>
      <c r="F26" s="18">
        <v>42623</v>
      </c>
      <c r="G26" s="19">
        <v>42439.534722222219</v>
      </c>
      <c r="I26" s="2" t="s">
        <v>13</v>
      </c>
      <c r="J26" s="1" t="str">
        <f t="shared" si="0"/>
        <v>Current</v>
      </c>
      <c r="K26" s="3">
        <v>26</v>
      </c>
      <c r="L26" s="2" t="s">
        <v>745</v>
      </c>
      <c r="M26" t="str">
        <f t="shared" si="1"/>
        <v>Middle Aged</v>
      </c>
      <c r="N26" s="2" t="s">
        <v>739</v>
      </c>
      <c r="O26" s="1" t="str">
        <f t="shared" si="2"/>
        <v>College</v>
      </c>
      <c r="P26" s="2" t="s">
        <v>735</v>
      </c>
      <c r="Q26" t="str">
        <f t="shared" si="3"/>
        <v>Male</v>
      </c>
    </row>
    <row r="27" spans="1:17" x14ac:dyDescent="0.25">
      <c r="A27" s="1" t="s">
        <v>53</v>
      </c>
      <c r="B27" s="2" t="s">
        <v>11</v>
      </c>
      <c r="C27" s="3">
        <v>1000</v>
      </c>
      <c r="D27" s="3">
        <v>30</v>
      </c>
      <c r="E27" s="18">
        <v>42652</v>
      </c>
      <c r="F27" s="18">
        <v>42623</v>
      </c>
      <c r="G27" s="19" t="s">
        <v>54</v>
      </c>
      <c r="I27" s="2" t="s">
        <v>13</v>
      </c>
      <c r="J27" s="1" t="str">
        <f t="shared" si="0"/>
        <v>Current</v>
      </c>
      <c r="K27" s="3">
        <v>29</v>
      </c>
      <c r="L27" s="2" t="s">
        <v>745</v>
      </c>
      <c r="M27" t="str">
        <f t="shared" si="1"/>
        <v>Middle Aged</v>
      </c>
      <c r="N27" s="2" t="s">
        <v>737</v>
      </c>
      <c r="O27" s="1" t="str">
        <f t="shared" si="2"/>
        <v>High School Or Below</v>
      </c>
      <c r="P27" s="2" t="s">
        <v>735</v>
      </c>
      <c r="Q27" t="str">
        <f t="shared" si="3"/>
        <v>Male</v>
      </c>
    </row>
    <row r="28" spans="1:17" x14ac:dyDescent="0.25">
      <c r="A28" s="1" t="s">
        <v>55</v>
      </c>
      <c r="B28" s="2" t="s">
        <v>11</v>
      </c>
      <c r="C28" s="3">
        <v>800</v>
      </c>
      <c r="D28" s="3">
        <v>15</v>
      </c>
      <c r="E28" s="18">
        <v>42652</v>
      </c>
      <c r="F28" s="18" t="s">
        <v>39</v>
      </c>
      <c r="G28" s="19" t="s">
        <v>56</v>
      </c>
      <c r="I28" s="2" t="s">
        <v>13</v>
      </c>
      <c r="J28" s="1" t="str">
        <f t="shared" si="0"/>
        <v>Current</v>
      </c>
      <c r="K28" s="3">
        <v>39</v>
      </c>
      <c r="L28" s="2" t="s">
        <v>743</v>
      </c>
      <c r="M28" t="str">
        <f t="shared" si="1"/>
        <v>Mature</v>
      </c>
      <c r="N28" s="2" t="s">
        <v>738</v>
      </c>
      <c r="O28" s="1" t="str">
        <f t="shared" si="2"/>
        <v>Bachelor</v>
      </c>
      <c r="P28" s="2" t="s">
        <v>735</v>
      </c>
      <c r="Q28" t="str">
        <f t="shared" si="3"/>
        <v>Male</v>
      </c>
    </row>
    <row r="29" spans="1:17" x14ac:dyDescent="0.25">
      <c r="A29" s="1" t="s">
        <v>57</v>
      </c>
      <c r="B29" s="2" t="s">
        <v>11</v>
      </c>
      <c r="C29" s="3">
        <v>1000</v>
      </c>
      <c r="D29" s="3">
        <v>15</v>
      </c>
      <c r="E29" s="18">
        <v>42652</v>
      </c>
      <c r="F29" s="18" t="s">
        <v>39</v>
      </c>
      <c r="G29" s="19" t="s">
        <v>58</v>
      </c>
      <c r="I29" s="2" t="s">
        <v>13</v>
      </c>
      <c r="J29" s="1" t="str">
        <f t="shared" si="0"/>
        <v>Current</v>
      </c>
      <c r="K29" s="3">
        <v>34</v>
      </c>
      <c r="L29" s="2" t="s">
        <v>743</v>
      </c>
      <c r="M29" t="str">
        <f t="shared" si="1"/>
        <v>Mature</v>
      </c>
      <c r="N29" s="2" t="s">
        <v>738</v>
      </c>
      <c r="O29" s="1" t="str">
        <f t="shared" si="2"/>
        <v>Bachelor</v>
      </c>
      <c r="P29" s="2" t="s">
        <v>735</v>
      </c>
      <c r="Q29" t="str">
        <f t="shared" si="3"/>
        <v>Male</v>
      </c>
    </row>
    <row r="30" spans="1:17" x14ac:dyDescent="0.25">
      <c r="A30" s="1" t="s">
        <v>59</v>
      </c>
      <c r="B30" s="2" t="s">
        <v>11</v>
      </c>
      <c r="C30" s="3">
        <v>1000</v>
      </c>
      <c r="D30" s="3">
        <v>30</v>
      </c>
      <c r="E30" s="18">
        <v>42683</v>
      </c>
      <c r="F30" s="18">
        <v>42653</v>
      </c>
      <c r="G30" s="19" t="s">
        <v>60</v>
      </c>
      <c r="I30" s="2" t="s">
        <v>13</v>
      </c>
      <c r="J30" s="1" t="str">
        <f t="shared" si="0"/>
        <v>Current</v>
      </c>
      <c r="K30" s="3">
        <v>31</v>
      </c>
      <c r="L30" s="2" t="s">
        <v>745</v>
      </c>
      <c r="M30" t="str">
        <f t="shared" si="1"/>
        <v>Middle Aged</v>
      </c>
      <c r="N30" s="2" t="s">
        <v>739</v>
      </c>
      <c r="O30" s="1" t="str">
        <f t="shared" si="2"/>
        <v>College</v>
      </c>
      <c r="P30" s="2" t="s">
        <v>735</v>
      </c>
      <c r="Q30" t="str">
        <f t="shared" si="3"/>
        <v>Male</v>
      </c>
    </row>
    <row r="31" spans="1:17" x14ac:dyDescent="0.25">
      <c r="A31" s="1" t="s">
        <v>61</v>
      </c>
      <c r="B31" s="2" t="s">
        <v>11</v>
      </c>
      <c r="C31" s="3">
        <v>1000</v>
      </c>
      <c r="D31" s="3">
        <v>30</v>
      </c>
      <c r="E31" s="18">
        <v>42683</v>
      </c>
      <c r="F31" s="18">
        <v>42653</v>
      </c>
      <c r="G31" s="19">
        <v>42623.731249999997</v>
      </c>
      <c r="I31" s="2" t="s">
        <v>13</v>
      </c>
      <c r="J31" s="1" t="str">
        <f t="shared" si="0"/>
        <v>Current</v>
      </c>
      <c r="K31" s="3">
        <v>33</v>
      </c>
      <c r="L31" s="2" t="s">
        <v>745</v>
      </c>
      <c r="M31" t="str">
        <f t="shared" si="1"/>
        <v>Middle Aged</v>
      </c>
      <c r="N31" s="2" t="s">
        <v>739</v>
      </c>
      <c r="O31" s="1" t="str">
        <f t="shared" si="2"/>
        <v>College</v>
      </c>
      <c r="P31" s="2" t="s">
        <v>735</v>
      </c>
      <c r="Q31" t="str">
        <f t="shared" si="3"/>
        <v>Male</v>
      </c>
    </row>
    <row r="32" spans="1:17" x14ac:dyDescent="0.25">
      <c r="A32" s="1" t="s">
        <v>62</v>
      </c>
      <c r="B32" s="2" t="s">
        <v>11</v>
      </c>
      <c r="C32" s="3">
        <v>800</v>
      </c>
      <c r="D32" s="3">
        <v>15</v>
      </c>
      <c r="E32" s="18">
        <v>42683</v>
      </c>
      <c r="F32" s="18" t="s">
        <v>63</v>
      </c>
      <c r="G32" s="19" t="s">
        <v>64</v>
      </c>
      <c r="I32" s="2" t="s">
        <v>13</v>
      </c>
      <c r="J32" s="1" t="str">
        <f t="shared" si="0"/>
        <v>Current</v>
      </c>
      <c r="K32" s="3">
        <v>33</v>
      </c>
      <c r="L32" s="2" t="s">
        <v>745</v>
      </c>
      <c r="M32" t="str">
        <f t="shared" si="1"/>
        <v>Middle Aged</v>
      </c>
      <c r="N32" s="2" t="s">
        <v>737</v>
      </c>
      <c r="O32" s="1" t="str">
        <f t="shared" si="2"/>
        <v>High School Or Below</v>
      </c>
      <c r="P32" s="2" t="s">
        <v>735</v>
      </c>
      <c r="Q32" t="str">
        <f t="shared" si="3"/>
        <v>Male</v>
      </c>
    </row>
    <row r="33" spans="1:17" x14ac:dyDescent="0.25">
      <c r="A33" s="1" t="s">
        <v>65</v>
      </c>
      <c r="B33" s="2" t="s">
        <v>11</v>
      </c>
      <c r="C33" s="3">
        <v>1000</v>
      </c>
      <c r="D33" s="3">
        <v>30</v>
      </c>
      <c r="E33" s="18">
        <v>42683</v>
      </c>
      <c r="F33" s="18">
        <v>42653</v>
      </c>
      <c r="G33" s="19">
        <v>42561.908333333333</v>
      </c>
      <c r="I33" s="2" t="s">
        <v>13</v>
      </c>
      <c r="J33" s="1" t="str">
        <f t="shared" si="0"/>
        <v>Current</v>
      </c>
      <c r="K33" s="3">
        <v>37</v>
      </c>
      <c r="L33" s="2" t="s">
        <v>743</v>
      </c>
      <c r="M33" t="str">
        <f t="shared" si="1"/>
        <v>Mature</v>
      </c>
      <c r="N33" s="2" t="s">
        <v>739</v>
      </c>
      <c r="O33" s="1" t="str">
        <f t="shared" si="2"/>
        <v>College</v>
      </c>
      <c r="P33" s="2" t="s">
        <v>735</v>
      </c>
      <c r="Q33" t="str">
        <f t="shared" si="3"/>
        <v>Male</v>
      </c>
    </row>
    <row r="34" spans="1:17" x14ac:dyDescent="0.25">
      <c r="A34" s="1" t="s">
        <v>66</v>
      </c>
      <c r="B34" s="2" t="s">
        <v>11</v>
      </c>
      <c r="C34" s="3">
        <v>1000</v>
      </c>
      <c r="D34" s="3">
        <v>30</v>
      </c>
      <c r="E34" s="18">
        <v>42683</v>
      </c>
      <c r="F34" s="18">
        <v>42653</v>
      </c>
      <c r="G34" s="19">
        <v>42623.738888888889</v>
      </c>
      <c r="I34" s="2" t="s">
        <v>13</v>
      </c>
      <c r="J34" s="1" t="str">
        <f t="shared" si="0"/>
        <v>Current</v>
      </c>
      <c r="K34" s="3">
        <v>27</v>
      </c>
      <c r="L34" s="2" t="s">
        <v>745</v>
      </c>
      <c r="M34" t="str">
        <f t="shared" si="1"/>
        <v>Middle Aged</v>
      </c>
      <c r="N34" s="2" t="s">
        <v>739</v>
      </c>
      <c r="O34" s="1" t="str">
        <f t="shared" si="2"/>
        <v>College</v>
      </c>
      <c r="P34" s="2" t="s">
        <v>735</v>
      </c>
      <c r="Q34" t="str">
        <f t="shared" si="3"/>
        <v>Male</v>
      </c>
    </row>
    <row r="35" spans="1:17" x14ac:dyDescent="0.25">
      <c r="A35" s="1" t="s">
        <v>67</v>
      </c>
      <c r="B35" s="2" t="s">
        <v>11</v>
      </c>
      <c r="C35" s="3">
        <v>1000</v>
      </c>
      <c r="D35" s="3">
        <v>30</v>
      </c>
      <c r="E35" s="18">
        <v>42683</v>
      </c>
      <c r="F35" s="18">
        <v>42653</v>
      </c>
      <c r="G35" s="19">
        <v>42623.308333333334</v>
      </c>
      <c r="I35" s="2" t="s">
        <v>13</v>
      </c>
      <c r="J35" s="1" t="str">
        <f t="shared" si="0"/>
        <v>Current</v>
      </c>
      <c r="K35" s="3">
        <v>37</v>
      </c>
      <c r="L35" s="2" t="s">
        <v>743</v>
      </c>
      <c r="M35" t="str">
        <f t="shared" si="1"/>
        <v>Mature</v>
      </c>
      <c r="N35" s="2" t="s">
        <v>739</v>
      </c>
      <c r="O35" s="1" t="str">
        <f t="shared" si="2"/>
        <v>College</v>
      </c>
      <c r="P35" s="2" t="s">
        <v>735</v>
      </c>
      <c r="Q35" t="str">
        <f t="shared" si="3"/>
        <v>Male</v>
      </c>
    </row>
    <row r="36" spans="1:17" x14ac:dyDescent="0.25">
      <c r="A36" s="1" t="s">
        <v>68</v>
      </c>
      <c r="B36" s="2" t="s">
        <v>11</v>
      </c>
      <c r="C36" s="3">
        <v>800</v>
      </c>
      <c r="D36" s="3">
        <v>15</v>
      </c>
      <c r="E36" s="18">
        <v>42683</v>
      </c>
      <c r="F36" s="18" t="s">
        <v>63</v>
      </c>
      <c r="G36" s="19" t="s">
        <v>69</v>
      </c>
      <c r="I36" s="2" t="s">
        <v>13</v>
      </c>
      <c r="J36" s="1" t="str">
        <f t="shared" si="0"/>
        <v>Current</v>
      </c>
      <c r="K36" s="3">
        <v>33</v>
      </c>
      <c r="L36" s="2" t="s">
        <v>745</v>
      </c>
      <c r="M36" t="str">
        <f t="shared" si="1"/>
        <v>Middle Aged</v>
      </c>
      <c r="N36" s="2" t="s">
        <v>739</v>
      </c>
      <c r="O36" s="1" t="str">
        <f t="shared" si="2"/>
        <v>College</v>
      </c>
      <c r="P36" s="2" t="s">
        <v>735</v>
      </c>
      <c r="Q36" t="str">
        <f t="shared" si="3"/>
        <v>Male</v>
      </c>
    </row>
    <row r="37" spans="1:17" x14ac:dyDescent="0.25">
      <c r="A37" s="1" t="s">
        <v>70</v>
      </c>
      <c r="B37" s="2" t="s">
        <v>11</v>
      </c>
      <c r="C37" s="3">
        <v>800</v>
      </c>
      <c r="D37" s="3">
        <v>15</v>
      </c>
      <c r="E37" s="18">
        <v>42683</v>
      </c>
      <c r="F37" s="18" t="s">
        <v>63</v>
      </c>
      <c r="G37" s="19" t="s">
        <v>71</v>
      </c>
      <c r="I37" s="2" t="s">
        <v>13</v>
      </c>
      <c r="J37" s="1" t="str">
        <f t="shared" si="0"/>
        <v>Current</v>
      </c>
      <c r="K37" s="3">
        <v>29</v>
      </c>
      <c r="L37" s="2" t="s">
        <v>745</v>
      </c>
      <c r="M37" t="str">
        <f t="shared" si="1"/>
        <v>Middle Aged</v>
      </c>
      <c r="N37" s="2" t="s">
        <v>738</v>
      </c>
      <c r="O37" s="1" t="str">
        <f t="shared" si="2"/>
        <v>Bachelor</v>
      </c>
      <c r="P37" s="2" t="s">
        <v>735</v>
      </c>
      <c r="Q37" t="str">
        <f t="shared" si="3"/>
        <v>Male</v>
      </c>
    </row>
    <row r="38" spans="1:17" x14ac:dyDescent="0.25">
      <c r="A38" s="1" t="s">
        <v>72</v>
      </c>
      <c r="B38" s="2" t="s">
        <v>11</v>
      </c>
      <c r="C38" s="3">
        <v>1000</v>
      </c>
      <c r="D38" s="3">
        <v>30</v>
      </c>
      <c r="E38" s="18">
        <v>42683</v>
      </c>
      <c r="F38" s="18">
        <v>42653</v>
      </c>
      <c r="G38" s="19">
        <v>42653.666666666664</v>
      </c>
      <c r="I38" s="2" t="s">
        <v>13</v>
      </c>
      <c r="J38" s="1" t="str">
        <f t="shared" si="0"/>
        <v>Current</v>
      </c>
      <c r="K38" s="3">
        <v>27</v>
      </c>
      <c r="L38" s="2" t="s">
        <v>745</v>
      </c>
      <c r="M38" t="str">
        <f t="shared" si="1"/>
        <v>Middle Aged</v>
      </c>
      <c r="N38" s="2" t="s">
        <v>737</v>
      </c>
      <c r="O38" s="1" t="str">
        <f t="shared" si="2"/>
        <v>High School Or Below</v>
      </c>
      <c r="P38" s="2" t="s">
        <v>735</v>
      </c>
      <c r="Q38" t="str">
        <f t="shared" si="3"/>
        <v>Male</v>
      </c>
    </row>
    <row r="39" spans="1:17" x14ac:dyDescent="0.25">
      <c r="A39" s="1" t="s">
        <v>73</v>
      </c>
      <c r="B39" s="2" t="s">
        <v>11</v>
      </c>
      <c r="C39" s="3">
        <v>700</v>
      </c>
      <c r="D39" s="3">
        <v>15</v>
      </c>
      <c r="E39" s="18">
        <v>42683</v>
      </c>
      <c r="F39" s="18" t="s">
        <v>63</v>
      </c>
      <c r="G39" s="19" t="s">
        <v>74</v>
      </c>
      <c r="I39" s="2" t="s">
        <v>13</v>
      </c>
      <c r="J39" s="1" t="str">
        <f t="shared" si="0"/>
        <v>Current</v>
      </c>
      <c r="K39" s="3">
        <v>33</v>
      </c>
      <c r="L39" s="2" t="s">
        <v>745</v>
      </c>
      <c r="M39" t="str">
        <f t="shared" si="1"/>
        <v>Middle Aged</v>
      </c>
      <c r="N39" s="2" t="s">
        <v>737</v>
      </c>
      <c r="O39" s="1" t="str">
        <f t="shared" si="2"/>
        <v>High School Or Below</v>
      </c>
      <c r="P39" s="2" t="s">
        <v>735</v>
      </c>
      <c r="Q39" t="str">
        <f t="shared" si="3"/>
        <v>Male</v>
      </c>
    </row>
    <row r="40" spans="1:17" x14ac:dyDescent="0.25">
      <c r="A40" s="1" t="s">
        <v>75</v>
      </c>
      <c r="B40" s="2" t="s">
        <v>11</v>
      </c>
      <c r="C40" s="3">
        <v>1000</v>
      </c>
      <c r="D40" s="3">
        <v>15</v>
      </c>
      <c r="E40" s="18">
        <v>42683</v>
      </c>
      <c r="F40" s="18" t="s">
        <v>63</v>
      </c>
      <c r="G40" s="19" t="s">
        <v>71</v>
      </c>
      <c r="I40" s="2" t="s">
        <v>13</v>
      </c>
      <c r="J40" s="1" t="str">
        <f t="shared" si="0"/>
        <v>Current</v>
      </c>
      <c r="K40" s="3">
        <v>24</v>
      </c>
      <c r="L40" s="2" t="s">
        <v>746</v>
      </c>
      <c r="M40" t="str">
        <f t="shared" si="1"/>
        <v xml:space="preserve"> Young Adults</v>
      </c>
      <c r="N40" s="2" t="s">
        <v>739</v>
      </c>
      <c r="O40" s="1" t="str">
        <f t="shared" si="2"/>
        <v>College</v>
      </c>
      <c r="P40" s="2" t="s">
        <v>735</v>
      </c>
      <c r="Q40" t="str">
        <f t="shared" si="3"/>
        <v>Male</v>
      </c>
    </row>
    <row r="41" spans="1:17" x14ac:dyDescent="0.25">
      <c r="A41" s="1" t="s">
        <v>76</v>
      </c>
      <c r="B41" s="2" t="s">
        <v>11</v>
      </c>
      <c r="C41" s="3">
        <v>1000</v>
      </c>
      <c r="D41" s="3">
        <v>30</v>
      </c>
      <c r="E41" s="18">
        <v>42683</v>
      </c>
      <c r="F41" s="18">
        <v>42653</v>
      </c>
      <c r="G41" s="19">
        <v>42653.481249999997</v>
      </c>
      <c r="I41" s="2" t="s">
        <v>13</v>
      </c>
      <c r="J41" s="1" t="str">
        <f t="shared" si="0"/>
        <v>Current</v>
      </c>
      <c r="K41" s="3">
        <v>21</v>
      </c>
      <c r="L41" s="2" t="s">
        <v>746</v>
      </c>
      <c r="M41" t="str">
        <f t="shared" si="1"/>
        <v xml:space="preserve"> Young Adults</v>
      </c>
      <c r="N41" s="2" t="s">
        <v>738</v>
      </c>
      <c r="O41" s="1" t="str">
        <f t="shared" si="2"/>
        <v>Bachelor</v>
      </c>
      <c r="P41" s="2" t="s">
        <v>735</v>
      </c>
      <c r="Q41" t="str">
        <f t="shared" si="3"/>
        <v>Male</v>
      </c>
    </row>
    <row r="42" spans="1:17" x14ac:dyDescent="0.25">
      <c r="A42" s="1" t="s">
        <v>77</v>
      </c>
      <c r="B42" s="2" t="s">
        <v>11</v>
      </c>
      <c r="C42" s="3">
        <v>1000</v>
      </c>
      <c r="D42" s="3">
        <v>15</v>
      </c>
      <c r="E42" s="18">
        <v>42683</v>
      </c>
      <c r="F42" s="18" t="s">
        <v>63</v>
      </c>
      <c r="G42" s="19" t="s">
        <v>71</v>
      </c>
      <c r="I42" s="2" t="s">
        <v>13</v>
      </c>
      <c r="J42" s="1" t="str">
        <f t="shared" si="0"/>
        <v>Current</v>
      </c>
      <c r="K42" s="3">
        <v>32</v>
      </c>
      <c r="L42" s="2" t="s">
        <v>745</v>
      </c>
      <c r="M42" t="str">
        <f t="shared" si="1"/>
        <v>Middle Aged</v>
      </c>
      <c r="N42" s="2" t="s">
        <v>739</v>
      </c>
      <c r="O42" s="1" t="str">
        <f t="shared" si="2"/>
        <v>College</v>
      </c>
      <c r="P42" s="2" t="s">
        <v>736</v>
      </c>
      <c r="Q42" t="str">
        <f t="shared" si="3"/>
        <v>Female</v>
      </c>
    </row>
    <row r="43" spans="1:17" x14ac:dyDescent="0.25">
      <c r="A43" s="1" t="s">
        <v>78</v>
      </c>
      <c r="B43" s="2" t="s">
        <v>11</v>
      </c>
      <c r="C43" s="3">
        <v>800</v>
      </c>
      <c r="D43" s="3">
        <v>15</v>
      </c>
      <c r="E43" s="18">
        <v>42683</v>
      </c>
      <c r="F43" s="18" t="s">
        <v>63</v>
      </c>
      <c r="G43" s="19" t="s">
        <v>79</v>
      </c>
      <c r="I43" s="2" t="s">
        <v>13</v>
      </c>
      <c r="J43" s="1" t="str">
        <f t="shared" si="0"/>
        <v>Current</v>
      </c>
      <c r="K43" s="3">
        <v>30</v>
      </c>
      <c r="L43" s="2" t="s">
        <v>745</v>
      </c>
      <c r="M43" t="str">
        <f t="shared" si="1"/>
        <v>Middle Aged</v>
      </c>
      <c r="N43" s="2" t="s">
        <v>739</v>
      </c>
      <c r="O43" s="1" t="str">
        <f t="shared" si="2"/>
        <v>College</v>
      </c>
      <c r="P43" s="2" t="s">
        <v>735</v>
      </c>
      <c r="Q43" t="str">
        <f t="shared" si="3"/>
        <v>Male</v>
      </c>
    </row>
    <row r="44" spans="1:17" x14ac:dyDescent="0.25">
      <c r="A44" s="1" t="s">
        <v>80</v>
      </c>
      <c r="B44" s="2" t="s">
        <v>11</v>
      </c>
      <c r="C44" s="3">
        <v>1000</v>
      </c>
      <c r="D44" s="3">
        <v>7</v>
      </c>
      <c r="E44" s="18">
        <v>42683</v>
      </c>
      <c r="F44" s="18" t="s">
        <v>39</v>
      </c>
      <c r="G44" s="19" t="s">
        <v>81</v>
      </c>
      <c r="I44" s="2" t="s">
        <v>13</v>
      </c>
      <c r="J44" s="1" t="str">
        <f t="shared" si="0"/>
        <v>Current</v>
      </c>
      <c r="K44" s="3">
        <v>31</v>
      </c>
      <c r="L44" s="2" t="s">
        <v>745</v>
      </c>
      <c r="M44" t="str">
        <f t="shared" si="1"/>
        <v>Middle Aged</v>
      </c>
      <c r="N44" s="2" t="s">
        <v>738</v>
      </c>
      <c r="O44" s="1" t="str">
        <f t="shared" si="2"/>
        <v>Bachelor</v>
      </c>
      <c r="P44" s="2" t="s">
        <v>735</v>
      </c>
      <c r="Q44" t="str">
        <f t="shared" si="3"/>
        <v>Male</v>
      </c>
    </row>
    <row r="45" spans="1:17" x14ac:dyDescent="0.25">
      <c r="A45" s="1" t="s">
        <v>82</v>
      </c>
      <c r="B45" s="2" t="s">
        <v>11</v>
      </c>
      <c r="C45" s="3">
        <v>1000</v>
      </c>
      <c r="D45" s="3">
        <v>15</v>
      </c>
      <c r="E45" s="18">
        <v>42683</v>
      </c>
      <c r="F45" s="18" t="s">
        <v>63</v>
      </c>
      <c r="G45" s="19" t="s">
        <v>83</v>
      </c>
      <c r="I45" s="2" t="s">
        <v>13</v>
      </c>
      <c r="J45" s="1" t="str">
        <f t="shared" si="0"/>
        <v>Current</v>
      </c>
      <c r="K45" s="3">
        <v>30</v>
      </c>
      <c r="L45" s="2" t="s">
        <v>745</v>
      </c>
      <c r="M45" t="str">
        <f t="shared" si="1"/>
        <v>Middle Aged</v>
      </c>
      <c r="N45" s="2" t="s">
        <v>739</v>
      </c>
      <c r="O45" s="1" t="str">
        <f t="shared" si="2"/>
        <v>College</v>
      </c>
      <c r="P45" s="2" t="s">
        <v>735</v>
      </c>
      <c r="Q45" t="str">
        <f t="shared" si="3"/>
        <v>Male</v>
      </c>
    </row>
    <row r="46" spans="1:17" x14ac:dyDescent="0.25">
      <c r="A46" s="1" t="s">
        <v>84</v>
      </c>
      <c r="B46" s="2" t="s">
        <v>11</v>
      </c>
      <c r="C46" s="3">
        <v>1000</v>
      </c>
      <c r="D46" s="3">
        <v>15</v>
      </c>
      <c r="E46" s="18">
        <v>42683</v>
      </c>
      <c r="F46" s="18" t="s">
        <v>63</v>
      </c>
      <c r="G46" s="19" t="s">
        <v>85</v>
      </c>
      <c r="I46" s="2" t="s">
        <v>13</v>
      </c>
      <c r="J46" s="1" t="str">
        <f t="shared" si="0"/>
        <v>Current</v>
      </c>
      <c r="K46" s="3">
        <v>24</v>
      </c>
      <c r="L46" s="2" t="s">
        <v>746</v>
      </c>
      <c r="M46" t="str">
        <f t="shared" si="1"/>
        <v xml:space="preserve"> Young Adults</v>
      </c>
      <c r="N46" s="2" t="s">
        <v>738</v>
      </c>
      <c r="O46" s="1" t="str">
        <f t="shared" si="2"/>
        <v>Bachelor</v>
      </c>
      <c r="P46" s="2" t="s">
        <v>736</v>
      </c>
      <c r="Q46" t="str">
        <f t="shared" si="3"/>
        <v>Female</v>
      </c>
    </row>
    <row r="47" spans="1:17" x14ac:dyDescent="0.25">
      <c r="A47" s="1" t="s">
        <v>86</v>
      </c>
      <c r="B47" s="2" t="s">
        <v>11</v>
      </c>
      <c r="C47" s="3">
        <v>800</v>
      </c>
      <c r="D47" s="3">
        <v>7</v>
      </c>
      <c r="E47" s="18">
        <v>42683</v>
      </c>
      <c r="F47" s="18" t="s">
        <v>87</v>
      </c>
      <c r="G47" s="19">
        <v>42713.928472222222</v>
      </c>
      <c r="I47" s="2" t="s">
        <v>13</v>
      </c>
      <c r="J47" s="1" t="str">
        <f t="shared" si="0"/>
        <v>Current</v>
      </c>
      <c r="K47" s="3">
        <v>35</v>
      </c>
      <c r="L47" s="2" t="s">
        <v>743</v>
      </c>
      <c r="M47" t="str">
        <f t="shared" si="1"/>
        <v>Mature</v>
      </c>
      <c r="N47" s="2" t="s">
        <v>737</v>
      </c>
      <c r="O47" s="1" t="str">
        <f t="shared" si="2"/>
        <v>High School Or Below</v>
      </c>
      <c r="P47" s="2" t="s">
        <v>735</v>
      </c>
      <c r="Q47" t="str">
        <f t="shared" si="3"/>
        <v>Male</v>
      </c>
    </row>
    <row r="48" spans="1:17" x14ac:dyDescent="0.25">
      <c r="A48" s="1" t="s">
        <v>88</v>
      </c>
      <c r="B48" s="2" t="s">
        <v>11</v>
      </c>
      <c r="C48" s="3">
        <v>1000</v>
      </c>
      <c r="D48" s="3">
        <v>30</v>
      </c>
      <c r="E48" s="18">
        <v>42683</v>
      </c>
      <c r="F48" s="18">
        <v>42653</v>
      </c>
      <c r="G48" s="19">
        <v>42592.593055555553</v>
      </c>
      <c r="I48" s="2" t="s">
        <v>13</v>
      </c>
      <c r="J48" s="1" t="str">
        <f t="shared" si="0"/>
        <v>Current</v>
      </c>
      <c r="K48" s="3">
        <v>22</v>
      </c>
      <c r="L48" s="2" t="s">
        <v>746</v>
      </c>
      <c r="M48" t="str">
        <f t="shared" si="1"/>
        <v xml:space="preserve"> Young Adults</v>
      </c>
      <c r="N48" s="2" t="s">
        <v>737</v>
      </c>
      <c r="O48" s="1" t="str">
        <f t="shared" si="2"/>
        <v>High School Or Below</v>
      </c>
      <c r="P48" s="2" t="s">
        <v>735</v>
      </c>
      <c r="Q48" t="str">
        <f t="shared" si="3"/>
        <v>Male</v>
      </c>
    </row>
    <row r="49" spans="1:17" x14ac:dyDescent="0.25">
      <c r="A49" s="1" t="s">
        <v>89</v>
      </c>
      <c r="B49" s="2" t="s">
        <v>11</v>
      </c>
      <c r="C49" s="3">
        <v>1000</v>
      </c>
      <c r="D49" s="3">
        <v>30</v>
      </c>
      <c r="E49" s="18">
        <v>42683</v>
      </c>
      <c r="F49" s="18">
        <v>42653</v>
      </c>
      <c r="G49" s="19">
        <v>42623.370138888888</v>
      </c>
      <c r="I49" s="2" t="s">
        <v>13</v>
      </c>
      <c r="J49" s="1" t="str">
        <f t="shared" si="0"/>
        <v>Current</v>
      </c>
      <c r="K49" s="3">
        <v>32</v>
      </c>
      <c r="L49" s="2" t="s">
        <v>745</v>
      </c>
      <c r="M49" t="str">
        <f t="shared" si="1"/>
        <v>Middle Aged</v>
      </c>
      <c r="N49" s="2" t="s">
        <v>739</v>
      </c>
      <c r="O49" s="1" t="str">
        <f t="shared" si="2"/>
        <v>College</v>
      </c>
      <c r="P49" s="2" t="s">
        <v>735</v>
      </c>
      <c r="Q49" t="str">
        <f t="shared" si="3"/>
        <v>Male</v>
      </c>
    </row>
    <row r="50" spans="1:17" x14ac:dyDescent="0.25">
      <c r="A50" s="1" t="s">
        <v>90</v>
      </c>
      <c r="B50" s="2" t="s">
        <v>11</v>
      </c>
      <c r="C50" s="3">
        <v>1000</v>
      </c>
      <c r="D50" s="3">
        <v>30</v>
      </c>
      <c r="E50" s="18">
        <v>42683</v>
      </c>
      <c r="F50" s="18">
        <v>42653</v>
      </c>
      <c r="G50" s="19">
        <v>42653.375</v>
      </c>
      <c r="I50" s="2" t="s">
        <v>13</v>
      </c>
      <c r="J50" s="1" t="str">
        <f t="shared" si="0"/>
        <v>Current</v>
      </c>
      <c r="K50" s="3">
        <v>32</v>
      </c>
      <c r="L50" s="2" t="s">
        <v>745</v>
      </c>
      <c r="M50" t="str">
        <f t="shared" si="1"/>
        <v>Middle Aged</v>
      </c>
      <c r="N50" s="2" t="s">
        <v>738</v>
      </c>
      <c r="O50" s="1" t="str">
        <f t="shared" si="2"/>
        <v>Bachelor</v>
      </c>
      <c r="P50" s="2" t="s">
        <v>735</v>
      </c>
      <c r="Q50" t="str">
        <f t="shared" si="3"/>
        <v>Male</v>
      </c>
    </row>
    <row r="51" spans="1:17" x14ac:dyDescent="0.25">
      <c r="A51" s="1" t="s">
        <v>91</v>
      </c>
      <c r="B51" s="2" t="s">
        <v>11</v>
      </c>
      <c r="C51" s="3">
        <v>800</v>
      </c>
      <c r="D51" s="3">
        <v>15</v>
      </c>
      <c r="E51" s="18">
        <v>42683</v>
      </c>
      <c r="F51" s="18" t="s">
        <v>63</v>
      </c>
      <c r="G51" s="19" t="s">
        <v>92</v>
      </c>
      <c r="I51" s="2" t="s">
        <v>13</v>
      </c>
      <c r="J51" s="1" t="str">
        <f t="shared" si="0"/>
        <v>Current</v>
      </c>
      <c r="K51" s="3">
        <v>50</v>
      </c>
      <c r="L51" s="2" t="s">
        <v>744</v>
      </c>
      <c r="M51" t="str">
        <f t="shared" si="1"/>
        <v>Old</v>
      </c>
      <c r="N51" s="2" t="s">
        <v>737</v>
      </c>
      <c r="O51" s="1" t="str">
        <f t="shared" si="2"/>
        <v>High School Or Below</v>
      </c>
      <c r="P51" s="2" t="s">
        <v>735</v>
      </c>
      <c r="Q51" t="str">
        <f t="shared" si="3"/>
        <v>Male</v>
      </c>
    </row>
    <row r="52" spans="1:17" x14ac:dyDescent="0.25">
      <c r="A52" s="1" t="s">
        <v>93</v>
      </c>
      <c r="B52" s="2" t="s">
        <v>11</v>
      </c>
      <c r="C52" s="3">
        <v>800</v>
      </c>
      <c r="D52" s="3">
        <v>15</v>
      </c>
      <c r="E52" s="18">
        <v>42683</v>
      </c>
      <c r="F52" s="18" t="s">
        <v>63</v>
      </c>
      <c r="G52" s="19" t="s">
        <v>74</v>
      </c>
      <c r="I52" s="2" t="s">
        <v>13</v>
      </c>
      <c r="J52" s="1" t="str">
        <f t="shared" si="0"/>
        <v>Current</v>
      </c>
      <c r="K52" s="3">
        <v>27</v>
      </c>
      <c r="L52" s="2" t="s">
        <v>745</v>
      </c>
      <c r="M52" t="str">
        <f t="shared" si="1"/>
        <v>Middle Aged</v>
      </c>
      <c r="N52" s="2" t="s">
        <v>739</v>
      </c>
      <c r="O52" s="1" t="str">
        <f t="shared" si="2"/>
        <v>College</v>
      </c>
      <c r="P52" s="2" t="s">
        <v>736</v>
      </c>
      <c r="Q52" t="str">
        <f t="shared" si="3"/>
        <v>Female</v>
      </c>
    </row>
    <row r="53" spans="1:17" x14ac:dyDescent="0.25">
      <c r="A53" s="1" t="s">
        <v>94</v>
      </c>
      <c r="B53" s="2" t="s">
        <v>11</v>
      </c>
      <c r="C53" s="3">
        <v>1000</v>
      </c>
      <c r="D53" s="3">
        <v>30</v>
      </c>
      <c r="E53" s="18">
        <v>42683</v>
      </c>
      <c r="F53" s="18">
        <v>42653</v>
      </c>
      <c r="G53" s="19">
        <v>42653.375</v>
      </c>
      <c r="I53" s="2" t="s">
        <v>13</v>
      </c>
      <c r="J53" s="1" t="str">
        <f t="shared" si="0"/>
        <v>Current</v>
      </c>
      <c r="K53" s="3">
        <v>35</v>
      </c>
      <c r="L53" s="2" t="s">
        <v>743</v>
      </c>
      <c r="M53" t="str">
        <f t="shared" si="1"/>
        <v>Mature</v>
      </c>
      <c r="N53" s="2" t="s">
        <v>738</v>
      </c>
      <c r="O53" s="1" t="str">
        <f t="shared" si="2"/>
        <v>Bachelor</v>
      </c>
      <c r="P53" s="2" t="s">
        <v>736</v>
      </c>
      <c r="Q53" t="str">
        <f t="shared" si="3"/>
        <v>Female</v>
      </c>
    </row>
    <row r="54" spans="1:17" x14ac:dyDescent="0.25">
      <c r="A54" s="1" t="s">
        <v>95</v>
      </c>
      <c r="B54" s="2" t="s">
        <v>11</v>
      </c>
      <c r="C54" s="3">
        <v>800</v>
      </c>
      <c r="D54" s="3">
        <v>15</v>
      </c>
      <c r="E54" s="18">
        <v>42683</v>
      </c>
      <c r="F54" s="18" t="s">
        <v>63</v>
      </c>
      <c r="G54" s="19" t="s">
        <v>96</v>
      </c>
      <c r="I54" s="2" t="s">
        <v>13</v>
      </c>
      <c r="J54" s="1" t="str">
        <f t="shared" si="0"/>
        <v>Current</v>
      </c>
      <c r="K54" s="3">
        <v>35</v>
      </c>
      <c r="L54" s="2" t="s">
        <v>743</v>
      </c>
      <c r="M54" t="str">
        <f t="shared" si="1"/>
        <v>Mature</v>
      </c>
      <c r="N54" s="2" t="s">
        <v>738</v>
      </c>
      <c r="O54" s="1" t="str">
        <f t="shared" si="2"/>
        <v>Bachelor</v>
      </c>
      <c r="P54" s="2" t="s">
        <v>736</v>
      </c>
      <c r="Q54" t="str">
        <f t="shared" si="3"/>
        <v>Female</v>
      </c>
    </row>
    <row r="55" spans="1:17" x14ac:dyDescent="0.25">
      <c r="A55" s="1" t="s">
        <v>97</v>
      </c>
      <c r="B55" s="2" t="s">
        <v>11</v>
      </c>
      <c r="C55" s="3">
        <v>1000</v>
      </c>
      <c r="D55" s="3">
        <v>30</v>
      </c>
      <c r="E55" s="18">
        <v>42683</v>
      </c>
      <c r="F55" s="18">
        <v>42653</v>
      </c>
      <c r="G55" s="19">
        <v>42653.375</v>
      </c>
      <c r="I55" s="2" t="s">
        <v>13</v>
      </c>
      <c r="J55" s="1" t="str">
        <f t="shared" si="0"/>
        <v>Current</v>
      </c>
      <c r="K55" s="3">
        <v>34</v>
      </c>
      <c r="L55" s="2" t="s">
        <v>743</v>
      </c>
      <c r="M55" t="str">
        <f t="shared" si="1"/>
        <v>Mature</v>
      </c>
      <c r="N55" s="2" t="s">
        <v>737</v>
      </c>
      <c r="O55" s="1" t="str">
        <f t="shared" si="2"/>
        <v>High School Or Below</v>
      </c>
      <c r="P55" s="2" t="s">
        <v>735</v>
      </c>
      <c r="Q55" t="str">
        <f t="shared" si="3"/>
        <v>Male</v>
      </c>
    </row>
    <row r="56" spans="1:17" x14ac:dyDescent="0.25">
      <c r="A56" s="1" t="s">
        <v>98</v>
      </c>
      <c r="B56" s="2" t="s">
        <v>11</v>
      </c>
      <c r="C56" s="3">
        <v>1000</v>
      </c>
      <c r="D56" s="3">
        <v>30</v>
      </c>
      <c r="E56" s="18">
        <v>42683</v>
      </c>
      <c r="F56" s="18">
        <v>42653</v>
      </c>
      <c r="G56" s="19">
        <v>42653.666666666664</v>
      </c>
      <c r="I56" s="2" t="s">
        <v>13</v>
      </c>
      <c r="J56" s="1" t="str">
        <f t="shared" si="0"/>
        <v>Current</v>
      </c>
      <c r="K56" s="3">
        <v>21</v>
      </c>
      <c r="L56" s="2" t="s">
        <v>746</v>
      </c>
      <c r="M56" t="str">
        <f t="shared" si="1"/>
        <v xml:space="preserve"> Young Adults</v>
      </c>
      <c r="N56" s="2" t="s">
        <v>737</v>
      </c>
      <c r="O56" s="1" t="str">
        <f t="shared" si="2"/>
        <v>High School Or Below</v>
      </c>
      <c r="P56" s="2" t="s">
        <v>735</v>
      </c>
      <c r="Q56" t="str">
        <f t="shared" si="3"/>
        <v>Male</v>
      </c>
    </row>
    <row r="57" spans="1:17" x14ac:dyDescent="0.25">
      <c r="A57" s="1" t="s">
        <v>99</v>
      </c>
      <c r="B57" s="2" t="s">
        <v>11</v>
      </c>
      <c r="C57" s="3">
        <v>1000</v>
      </c>
      <c r="D57" s="3">
        <v>15</v>
      </c>
      <c r="E57" s="18">
        <v>42683</v>
      </c>
      <c r="F57" s="18" t="s">
        <v>63</v>
      </c>
      <c r="G57" s="19" t="s">
        <v>100</v>
      </c>
      <c r="I57" s="2" t="s">
        <v>13</v>
      </c>
      <c r="J57" s="1" t="str">
        <f t="shared" si="0"/>
        <v>Current</v>
      </c>
      <c r="K57" s="3">
        <v>25</v>
      </c>
      <c r="L57" s="2" t="s">
        <v>746</v>
      </c>
      <c r="M57" t="str">
        <f t="shared" si="1"/>
        <v xml:space="preserve"> Young Adults</v>
      </c>
      <c r="N57" s="2" t="s">
        <v>739</v>
      </c>
      <c r="O57" s="1" t="str">
        <f t="shared" si="2"/>
        <v>College</v>
      </c>
      <c r="P57" s="2" t="s">
        <v>735</v>
      </c>
      <c r="Q57" t="str">
        <f t="shared" si="3"/>
        <v>Male</v>
      </c>
    </row>
    <row r="58" spans="1:17" x14ac:dyDescent="0.25">
      <c r="A58" s="1" t="s">
        <v>101</v>
      </c>
      <c r="B58" s="2" t="s">
        <v>11</v>
      </c>
      <c r="C58" s="3">
        <v>1000</v>
      </c>
      <c r="D58" s="3">
        <v>30</v>
      </c>
      <c r="E58" s="18">
        <v>42683</v>
      </c>
      <c r="F58" s="18">
        <v>42653</v>
      </c>
      <c r="G58" s="19">
        <v>42653.375</v>
      </c>
      <c r="I58" s="2" t="s">
        <v>13</v>
      </c>
      <c r="J58" s="1" t="str">
        <f t="shared" si="0"/>
        <v>Current</v>
      </c>
      <c r="K58" s="3">
        <v>27</v>
      </c>
      <c r="L58" s="2" t="s">
        <v>745</v>
      </c>
      <c r="M58" t="str">
        <f t="shared" si="1"/>
        <v>Middle Aged</v>
      </c>
      <c r="N58" s="2" t="s">
        <v>737</v>
      </c>
      <c r="O58" s="1" t="str">
        <f t="shared" si="2"/>
        <v>High School Or Below</v>
      </c>
      <c r="P58" s="2" t="s">
        <v>735</v>
      </c>
      <c r="Q58" t="str">
        <f t="shared" si="3"/>
        <v>Male</v>
      </c>
    </row>
    <row r="59" spans="1:17" x14ac:dyDescent="0.25">
      <c r="A59" s="1" t="s">
        <v>102</v>
      </c>
      <c r="B59" s="2" t="s">
        <v>11</v>
      </c>
      <c r="C59" s="3">
        <v>1000</v>
      </c>
      <c r="D59" s="3">
        <v>30</v>
      </c>
      <c r="E59" s="18">
        <v>42683</v>
      </c>
      <c r="F59" s="18">
        <v>42653</v>
      </c>
      <c r="G59" s="19">
        <v>42561.106249999997</v>
      </c>
      <c r="I59" s="2" t="s">
        <v>13</v>
      </c>
      <c r="J59" s="1" t="str">
        <f t="shared" si="0"/>
        <v>Current</v>
      </c>
      <c r="K59" s="3">
        <v>26</v>
      </c>
      <c r="L59" s="2" t="s">
        <v>745</v>
      </c>
      <c r="M59" t="str">
        <f t="shared" si="1"/>
        <v>Middle Aged</v>
      </c>
      <c r="N59" s="2" t="s">
        <v>738</v>
      </c>
      <c r="O59" s="1" t="str">
        <f t="shared" si="2"/>
        <v>Bachelor</v>
      </c>
      <c r="P59" s="2" t="s">
        <v>735</v>
      </c>
      <c r="Q59" t="str">
        <f t="shared" si="3"/>
        <v>Male</v>
      </c>
    </row>
    <row r="60" spans="1:17" x14ac:dyDescent="0.25">
      <c r="A60" s="1" t="s">
        <v>103</v>
      </c>
      <c r="B60" s="2" t="s">
        <v>11</v>
      </c>
      <c r="C60" s="3">
        <v>800</v>
      </c>
      <c r="D60" s="3">
        <v>15</v>
      </c>
      <c r="E60" s="18">
        <v>42683</v>
      </c>
      <c r="F60" s="18" t="s">
        <v>63</v>
      </c>
      <c r="G60" s="19" t="s">
        <v>104</v>
      </c>
      <c r="I60" s="2" t="s">
        <v>13</v>
      </c>
      <c r="J60" s="1" t="str">
        <f t="shared" si="0"/>
        <v>Current</v>
      </c>
      <c r="K60" s="3">
        <v>44</v>
      </c>
      <c r="L60" s="2" t="s">
        <v>743</v>
      </c>
      <c r="M60" t="str">
        <f t="shared" si="1"/>
        <v>Mature</v>
      </c>
      <c r="N60" s="2" t="s">
        <v>737</v>
      </c>
      <c r="O60" s="1" t="str">
        <f t="shared" si="2"/>
        <v>High School Or Below</v>
      </c>
      <c r="P60" s="2" t="s">
        <v>736</v>
      </c>
      <c r="Q60" t="str">
        <f t="shared" si="3"/>
        <v>Female</v>
      </c>
    </row>
    <row r="61" spans="1:17" x14ac:dyDescent="0.25">
      <c r="A61" s="1" t="s">
        <v>105</v>
      </c>
      <c r="B61" s="2" t="s">
        <v>11</v>
      </c>
      <c r="C61" s="3">
        <v>800</v>
      </c>
      <c r="D61" s="3">
        <v>15</v>
      </c>
      <c r="E61" s="18">
        <v>42683</v>
      </c>
      <c r="F61" s="18" t="s">
        <v>63</v>
      </c>
      <c r="G61" s="19" t="s">
        <v>106</v>
      </c>
      <c r="I61" s="2" t="s">
        <v>13</v>
      </c>
      <c r="J61" s="1" t="str">
        <f t="shared" si="0"/>
        <v>Current</v>
      </c>
      <c r="K61" s="3">
        <v>39</v>
      </c>
      <c r="L61" s="2" t="s">
        <v>743</v>
      </c>
      <c r="M61" t="str">
        <f t="shared" si="1"/>
        <v>Mature</v>
      </c>
      <c r="N61" s="2" t="s">
        <v>740</v>
      </c>
      <c r="O61" s="1" t="str">
        <f t="shared" si="2"/>
        <v>Master Or Above</v>
      </c>
      <c r="P61" s="2" t="s">
        <v>735</v>
      </c>
      <c r="Q61" t="str">
        <f t="shared" si="3"/>
        <v>Male</v>
      </c>
    </row>
    <row r="62" spans="1:17" x14ac:dyDescent="0.25">
      <c r="A62" s="1" t="s">
        <v>107</v>
      </c>
      <c r="B62" s="2" t="s">
        <v>11</v>
      </c>
      <c r="C62" s="3">
        <v>1000</v>
      </c>
      <c r="D62" s="3">
        <v>30</v>
      </c>
      <c r="E62" s="18">
        <v>42683</v>
      </c>
      <c r="F62" s="18">
        <v>42653</v>
      </c>
      <c r="G62" s="19" t="s">
        <v>108</v>
      </c>
      <c r="I62" s="2" t="s">
        <v>13</v>
      </c>
      <c r="J62" s="1" t="str">
        <f t="shared" si="0"/>
        <v>Current</v>
      </c>
      <c r="K62" s="3">
        <v>34</v>
      </c>
      <c r="L62" s="2" t="s">
        <v>743</v>
      </c>
      <c r="M62" t="str">
        <f t="shared" si="1"/>
        <v>Mature</v>
      </c>
      <c r="N62" s="2" t="s">
        <v>738</v>
      </c>
      <c r="O62" s="1" t="str">
        <f t="shared" si="2"/>
        <v>Bachelor</v>
      </c>
      <c r="P62" s="2" t="s">
        <v>735</v>
      </c>
      <c r="Q62" t="str">
        <f t="shared" si="3"/>
        <v>Male</v>
      </c>
    </row>
    <row r="63" spans="1:17" x14ac:dyDescent="0.25">
      <c r="A63" s="1" t="s">
        <v>109</v>
      </c>
      <c r="B63" s="2" t="s">
        <v>11</v>
      </c>
      <c r="C63" s="3">
        <v>1000</v>
      </c>
      <c r="D63" s="3">
        <v>15</v>
      </c>
      <c r="E63" s="18">
        <v>42683</v>
      </c>
      <c r="F63" s="18" t="s">
        <v>63</v>
      </c>
      <c r="G63" s="19" t="s">
        <v>110</v>
      </c>
      <c r="I63" s="2" t="s">
        <v>13</v>
      </c>
      <c r="J63" s="1" t="str">
        <f t="shared" si="0"/>
        <v>Current</v>
      </c>
      <c r="K63" s="3">
        <v>37</v>
      </c>
      <c r="L63" s="2" t="s">
        <v>743</v>
      </c>
      <c r="M63" t="str">
        <f t="shared" si="1"/>
        <v>Mature</v>
      </c>
      <c r="N63" s="2" t="s">
        <v>739</v>
      </c>
      <c r="O63" s="1" t="str">
        <f t="shared" si="2"/>
        <v>College</v>
      </c>
      <c r="P63" s="2" t="s">
        <v>735</v>
      </c>
      <c r="Q63" t="str">
        <f t="shared" si="3"/>
        <v>Male</v>
      </c>
    </row>
    <row r="64" spans="1:17" x14ac:dyDescent="0.25">
      <c r="A64" s="1" t="s">
        <v>111</v>
      </c>
      <c r="B64" s="2" t="s">
        <v>11</v>
      </c>
      <c r="C64" s="3">
        <v>1000</v>
      </c>
      <c r="D64" s="3">
        <v>30</v>
      </c>
      <c r="E64" s="18">
        <v>42683</v>
      </c>
      <c r="F64" s="18">
        <v>42653</v>
      </c>
      <c r="G64" s="19">
        <v>42592.309027777781</v>
      </c>
      <c r="I64" s="2" t="s">
        <v>13</v>
      </c>
      <c r="J64" s="1" t="str">
        <f t="shared" si="0"/>
        <v>Current</v>
      </c>
      <c r="K64" s="3">
        <v>34</v>
      </c>
      <c r="L64" s="2" t="s">
        <v>743</v>
      </c>
      <c r="M64" t="str">
        <f t="shared" si="1"/>
        <v>Mature</v>
      </c>
      <c r="N64" s="2" t="s">
        <v>737</v>
      </c>
      <c r="O64" s="1" t="str">
        <f t="shared" si="2"/>
        <v>High School Or Below</v>
      </c>
      <c r="P64" s="2" t="s">
        <v>735</v>
      </c>
      <c r="Q64" t="str">
        <f t="shared" si="3"/>
        <v>Male</v>
      </c>
    </row>
    <row r="65" spans="1:17" x14ac:dyDescent="0.25">
      <c r="A65" s="1" t="s">
        <v>112</v>
      </c>
      <c r="B65" s="2" t="s">
        <v>11</v>
      </c>
      <c r="C65" s="3">
        <v>1000</v>
      </c>
      <c r="D65" s="3">
        <v>30</v>
      </c>
      <c r="E65" s="18">
        <v>42683</v>
      </c>
      <c r="F65" s="18">
        <v>42653</v>
      </c>
      <c r="G65" s="19">
        <v>42713.486111111109</v>
      </c>
      <c r="I65" s="2" t="s">
        <v>13</v>
      </c>
      <c r="J65" s="1" t="str">
        <f t="shared" si="0"/>
        <v>Current</v>
      </c>
      <c r="K65" s="3">
        <v>45</v>
      </c>
      <c r="L65" s="2" t="s">
        <v>743</v>
      </c>
      <c r="M65" t="str">
        <f t="shared" si="1"/>
        <v>Mature</v>
      </c>
      <c r="N65" s="2" t="s">
        <v>739</v>
      </c>
      <c r="O65" s="1" t="str">
        <f t="shared" si="2"/>
        <v>College</v>
      </c>
      <c r="P65" s="2" t="s">
        <v>735</v>
      </c>
      <c r="Q65" t="str">
        <f t="shared" si="3"/>
        <v>Male</v>
      </c>
    </row>
    <row r="66" spans="1:17" x14ac:dyDescent="0.25">
      <c r="A66" s="1" t="s">
        <v>113</v>
      </c>
      <c r="B66" s="2" t="s">
        <v>11</v>
      </c>
      <c r="C66" s="3">
        <v>800</v>
      </c>
      <c r="D66" s="3">
        <v>15</v>
      </c>
      <c r="E66" s="18">
        <v>42683</v>
      </c>
      <c r="F66" s="18" t="s">
        <v>63</v>
      </c>
      <c r="G66" s="19" t="s">
        <v>114</v>
      </c>
      <c r="I66" s="2" t="s">
        <v>13</v>
      </c>
      <c r="J66" s="1" t="str">
        <f t="shared" si="0"/>
        <v>Current</v>
      </c>
      <c r="K66" s="3">
        <v>24</v>
      </c>
      <c r="L66" s="2" t="s">
        <v>746</v>
      </c>
      <c r="M66" t="str">
        <f t="shared" si="1"/>
        <v xml:space="preserve"> Young Adults</v>
      </c>
      <c r="N66" s="2" t="s">
        <v>737</v>
      </c>
      <c r="O66" s="1" t="str">
        <f t="shared" si="2"/>
        <v>High School Or Below</v>
      </c>
      <c r="P66" s="2" t="s">
        <v>735</v>
      </c>
      <c r="Q66" t="str">
        <f t="shared" si="3"/>
        <v>Male</v>
      </c>
    </row>
    <row r="67" spans="1:17" x14ac:dyDescent="0.25">
      <c r="A67" s="1" t="s">
        <v>115</v>
      </c>
      <c r="B67" s="2" t="s">
        <v>11</v>
      </c>
      <c r="C67" s="3">
        <v>900</v>
      </c>
      <c r="D67" s="3">
        <v>15</v>
      </c>
      <c r="E67" s="18">
        <v>42683</v>
      </c>
      <c r="F67" s="18" t="s">
        <v>63</v>
      </c>
      <c r="G67" s="19" t="s">
        <v>116</v>
      </c>
      <c r="I67" s="2" t="s">
        <v>13</v>
      </c>
      <c r="J67" s="1" t="str">
        <f t="shared" ref="J67:J130" si="4">IF(H67 = " ", "Current", IF(H67 = 0, "Current", IF(H67 &lt;= 39, "1 - 39 Days", IF(H67 &lt;= 80, "40 - 80 Days"))))</f>
        <v>Current</v>
      </c>
      <c r="K67" s="3">
        <v>28</v>
      </c>
      <c r="L67" s="2" t="s">
        <v>745</v>
      </c>
      <c r="M67" t="str">
        <f t="shared" ref="M67:M130" si="5">IF(K67 &lt;= 25, " Young Adults", IF(K67 &lt;= 33, "Middle Aged", IF(K67 &lt;= 49, "Mature", IF(K67 &lt;= 100, "Old"))))</f>
        <v>Middle Aged</v>
      </c>
      <c r="N67" s="2" t="s">
        <v>739</v>
      </c>
      <c r="O67" s="1" t="str">
        <f t="shared" ref="O67:O130" si="6">PROPER(N67)</f>
        <v>College</v>
      </c>
      <c r="P67" s="2" t="s">
        <v>735</v>
      </c>
      <c r="Q67" t="str">
        <f t="shared" ref="Q67:Q130" si="7">PROPER(P67)</f>
        <v>Male</v>
      </c>
    </row>
    <row r="68" spans="1:17" x14ac:dyDescent="0.25">
      <c r="A68" s="1" t="s">
        <v>117</v>
      </c>
      <c r="B68" s="2" t="s">
        <v>11</v>
      </c>
      <c r="C68" s="3">
        <v>1000</v>
      </c>
      <c r="D68" s="3">
        <v>30</v>
      </c>
      <c r="E68" s="18">
        <v>42683</v>
      </c>
      <c r="F68" s="18">
        <v>42653</v>
      </c>
      <c r="G68" s="19">
        <v>42592.50277777778</v>
      </c>
      <c r="I68" s="2" t="s">
        <v>13</v>
      </c>
      <c r="J68" s="1" t="str">
        <f t="shared" si="4"/>
        <v>Current</v>
      </c>
      <c r="K68" s="3">
        <v>28</v>
      </c>
      <c r="L68" s="2" t="s">
        <v>745</v>
      </c>
      <c r="M68" t="str">
        <f t="shared" si="5"/>
        <v>Middle Aged</v>
      </c>
      <c r="N68" s="2" t="s">
        <v>738</v>
      </c>
      <c r="O68" s="1" t="str">
        <f t="shared" si="6"/>
        <v>Bachelor</v>
      </c>
      <c r="P68" s="2" t="s">
        <v>735</v>
      </c>
      <c r="Q68" t="str">
        <f t="shared" si="7"/>
        <v>Male</v>
      </c>
    </row>
    <row r="69" spans="1:17" x14ac:dyDescent="0.25">
      <c r="A69" s="1" t="s">
        <v>118</v>
      </c>
      <c r="B69" s="2" t="s">
        <v>11</v>
      </c>
      <c r="C69" s="3">
        <v>1000</v>
      </c>
      <c r="D69" s="3">
        <v>30</v>
      </c>
      <c r="E69" s="18">
        <v>42683</v>
      </c>
      <c r="F69" s="18">
        <v>42653</v>
      </c>
      <c r="G69" s="19">
        <v>42653.375</v>
      </c>
      <c r="I69" s="2" t="s">
        <v>13</v>
      </c>
      <c r="J69" s="1" t="str">
        <f t="shared" si="4"/>
        <v>Current</v>
      </c>
      <c r="K69" s="3">
        <v>37</v>
      </c>
      <c r="L69" s="2" t="s">
        <v>743</v>
      </c>
      <c r="M69" t="str">
        <f t="shared" si="5"/>
        <v>Mature</v>
      </c>
      <c r="N69" s="2" t="s">
        <v>737</v>
      </c>
      <c r="O69" s="1" t="str">
        <f t="shared" si="6"/>
        <v>High School Or Below</v>
      </c>
      <c r="P69" s="2" t="s">
        <v>735</v>
      </c>
      <c r="Q69" t="str">
        <f t="shared" si="7"/>
        <v>Male</v>
      </c>
    </row>
    <row r="70" spans="1:17" x14ac:dyDescent="0.25">
      <c r="A70" s="1" t="s">
        <v>119</v>
      </c>
      <c r="B70" s="2" t="s">
        <v>11</v>
      </c>
      <c r="C70" s="3">
        <v>300</v>
      </c>
      <c r="D70" s="3">
        <v>7</v>
      </c>
      <c r="E70" s="18">
        <v>42683</v>
      </c>
      <c r="F70" s="18" t="s">
        <v>87</v>
      </c>
      <c r="G70" s="19" t="s">
        <v>120</v>
      </c>
      <c r="I70" s="2" t="s">
        <v>13</v>
      </c>
      <c r="J70" s="1" t="str">
        <f t="shared" si="4"/>
        <v>Current</v>
      </c>
      <c r="K70" s="3">
        <v>35</v>
      </c>
      <c r="L70" s="2" t="s">
        <v>743</v>
      </c>
      <c r="M70" t="str">
        <f t="shared" si="5"/>
        <v>Mature</v>
      </c>
      <c r="N70" s="2" t="s">
        <v>739</v>
      </c>
      <c r="O70" s="1" t="str">
        <f t="shared" si="6"/>
        <v>College</v>
      </c>
      <c r="P70" s="2" t="s">
        <v>735</v>
      </c>
      <c r="Q70" t="str">
        <f t="shared" si="7"/>
        <v>Male</v>
      </c>
    </row>
    <row r="71" spans="1:17" x14ac:dyDescent="0.25">
      <c r="A71" s="1" t="s">
        <v>121</v>
      </c>
      <c r="B71" s="2" t="s">
        <v>11</v>
      </c>
      <c r="C71" s="3">
        <v>1000</v>
      </c>
      <c r="D71" s="3">
        <v>30</v>
      </c>
      <c r="E71" s="18">
        <v>42683</v>
      </c>
      <c r="F71" s="18">
        <v>42653</v>
      </c>
      <c r="G71" s="19" t="s">
        <v>122</v>
      </c>
      <c r="I71" s="2" t="s">
        <v>13</v>
      </c>
      <c r="J71" s="1" t="str">
        <f t="shared" si="4"/>
        <v>Current</v>
      </c>
      <c r="K71" s="3">
        <v>43</v>
      </c>
      <c r="L71" s="2" t="s">
        <v>743</v>
      </c>
      <c r="M71" t="str">
        <f t="shared" si="5"/>
        <v>Mature</v>
      </c>
      <c r="N71" s="2" t="s">
        <v>738</v>
      </c>
      <c r="O71" s="1" t="str">
        <f t="shared" si="6"/>
        <v>Bachelor</v>
      </c>
      <c r="P71" s="2" t="s">
        <v>735</v>
      </c>
      <c r="Q71" t="str">
        <f t="shared" si="7"/>
        <v>Male</v>
      </c>
    </row>
    <row r="72" spans="1:17" x14ac:dyDescent="0.25">
      <c r="A72" s="1" t="s">
        <v>123</v>
      </c>
      <c r="B72" s="2" t="s">
        <v>11</v>
      </c>
      <c r="C72" s="3">
        <v>800</v>
      </c>
      <c r="D72" s="3">
        <v>15</v>
      </c>
      <c r="E72" s="18">
        <v>42683</v>
      </c>
      <c r="F72" s="18" t="s">
        <v>63</v>
      </c>
      <c r="G72" s="19" t="s">
        <v>124</v>
      </c>
      <c r="I72" s="2" t="s">
        <v>13</v>
      </c>
      <c r="J72" s="1" t="str">
        <f t="shared" si="4"/>
        <v>Current</v>
      </c>
      <c r="K72" s="3">
        <v>29</v>
      </c>
      <c r="L72" s="2" t="s">
        <v>745</v>
      </c>
      <c r="M72" t="str">
        <f t="shared" si="5"/>
        <v>Middle Aged</v>
      </c>
      <c r="N72" s="2" t="s">
        <v>739</v>
      </c>
      <c r="O72" s="1" t="str">
        <f t="shared" si="6"/>
        <v>College</v>
      </c>
      <c r="P72" s="2" t="s">
        <v>735</v>
      </c>
      <c r="Q72" t="str">
        <f t="shared" si="7"/>
        <v>Male</v>
      </c>
    </row>
    <row r="73" spans="1:17" x14ac:dyDescent="0.25">
      <c r="A73" s="1" t="s">
        <v>125</v>
      </c>
      <c r="B73" s="2" t="s">
        <v>11</v>
      </c>
      <c r="C73" s="3">
        <v>800</v>
      </c>
      <c r="D73" s="3">
        <v>15</v>
      </c>
      <c r="E73" s="18">
        <v>42683</v>
      </c>
      <c r="F73" s="18" t="s">
        <v>63</v>
      </c>
      <c r="G73" s="19" t="s">
        <v>126</v>
      </c>
      <c r="I73" s="2" t="s">
        <v>13</v>
      </c>
      <c r="J73" s="1" t="str">
        <f t="shared" si="4"/>
        <v>Current</v>
      </c>
      <c r="K73" s="3">
        <v>29</v>
      </c>
      <c r="L73" s="2" t="s">
        <v>745</v>
      </c>
      <c r="M73" t="str">
        <f t="shared" si="5"/>
        <v>Middle Aged</v>
      </c>
      <c r="N73" s="2" t="s">
        <v>737</v>
      </c>
      <c r="O73" s="1" t="str">
        <f t="shared" si="6"/>
        <v>High School Or Below</v>
      </c>
      <c r="P73" s="2" t="s">
        <v>735</v>
      </c>
      <c r="Q73" t="str">
        <f t="shared" si="7"/>
        <v>Male</v>
      </c>
    </row>
    <row r="74" spans="1:17" x14ac:dyDescent="0.25">
      <c r="A74" s="1" t="s">
        <v>127</v>
      </c>
      <c r="B74" s="2" t="s">
        <v>11</v>
      </c>
      <c r="C74" s="3">
        <v>1000</v>
      </c>
      <c r="D74" s="3">
        <v>30</v>
      </c>
      <c r="E74" s="18">
        <v>42683</v>
      </c>
      <c r="F74" s="18">
        <v>42653</v>
      </c>
      <c r="G74" s="19">
        <v>42653.666666666664</v>
      </c>
      <c r="I74" s="2" t="s">
        <v>13</v>
      </c>
      <c r="J74" s="1" t="str">
        <f t="shared" si="4"/>
        <v>Current</v>
      </c>
      <c r="K74" s="3">
        <v>33</v>
      </c>
      <c r="L74" s="2" t="s">
        <v>745</v>
      </c>
      <c r="M74" t="str">
        <f t="shared" si="5"/>
        <v>Middle Aged</v>
      </c>
      <c r="N74" s="2" t="s">
        <v>738</v>
      </c>
      <c r="O74" s="1" t="str">
        <f t="shared" si="6"/>
        <v>Bachelor</v>
      </c>
      <c r="P74" s="2" t="s">
        <v>736</v>
      </c>
      <c r="Q74" t="str">
        <f t="shared" si="7"/>
        <v>Female</v>
      </c>
    </row>
    <row r="75" spans="1:17" x14ac:dyDescent="0.25">
      <c r="A75" s="1" t="s">
        <v>128</v>
      </c>
      <c r="B75" s="2" t="s">
        <v>11</v>
      </c>
      <c r="C75" s="3">
        <v>1000</v>
      </c>
      <c r="D75" s="3">
        <v>15</v>
      </c>
      <c r="E75" s="18">
        <v>42683</v>
      </c>
      <c r="F75" s="18" t="s">
        <v>63</v>
      </c>
      <c r="G75" s="19" t="s">
        <v>71</v>
      </c>
      <c r="I75" s="2" t="s">
        <v>13</v>
      </c>
      <c r="J75" s="1" t="str">
        <f t="shared" si="4"/>
        <v>Current</v>
      </c>
      <c r="K75" s="3">
        <v>34</v>
      </c>
      <c r="L75" s="2" t="s">
        <v>743</v>
      </c>
      <c r="M75" t="str">
        <f t="shared" si="5"/>
        <v>Mature</v>
      </c>
      <c r="N75" s="2" t="s">
        <v>739</v>
      </c>
      <c r="O75" s="1" t="str">
        <f t="shared" si="6"/>
        <v>College</v>
      </c>
      <c r="P75" s="2" t="s">
        <v>735</v>
      </c>
      <c r="Q75" t="str">
        <f t="shared" si="7"/>
        <v>Male</v>
      </c>
    </row>
    <row r="76" spans="1:17" x14ac:dyDescent="0.25">
      <c r="A76" s="1" t="s">
        <v>129</v>
      </c>
      <c r="B76" s="2" t="s">
        <v>11</v>
      </c>
      <c r="C76" s="3">
        <v>1000</v>
      </c>
      <c r="D76" s="3">
        <v>15</v>
      </c>
      <c r="E76" s="18">
        <v>42683</v>
      </c>
      <c r="F76" s="18" t="s">
        <v>63</v>
      </c>
      <c r="G76" s="19" t="s">
        <v>71</v>
      </c>
      <c r="I76" s="2" t="s">
        <v>13</v>
      </c>
      <c r="J76" s="1" t="str">
        <f t="shared" si="4"/>
        <v>Current</v>
      </c>
      <c r="K76" s="3">
        <v>25</v>
      </c>
      <c r="L76" s="2" t="s">
        <v>746</v>
      </c>
      <c r="M76" t="str">
        <f t="shared" si="5"/>
        <v xml:space="preserve"> Young Adults</v>
      </c>
      <c r="N76" s="2" t="s">
        <v>739</v>
      </c>
      <c r="O76" s="1" t="str">
        <f t="shared" si="6"/>
        <v>College</v>
      </c>
      <c r="P76" s="2" t="s">
        <v>735</v>
      </c>
      <c r="Q76" t="str">
        <f t="shared" si="7"/>
        <v>Male</v>
      </c>
    </row>
    <row r="77" spans="1:17" x14ac:dyDescent="0.25">
      <c r="A77" s="1" t="s">
        <v>130</v>
      </c>
      <c r="B77" s="2" t="s">
        <v>11</v>
      </c>
      <c r="C77" s="3">
        <v>1000</v>
      </c>
      <c r="D77" s="3">
        <v>30</v>
      </c>
      <c r="E77" s="18">
        <v>42683</v>
      </c>
      <c r="F77" s="18">
        <v>42653</v>
      </c>
      <c r="G77" s="19">
        <v>42592.55</v>
      </c>
      <c r="I77" s="2" t="s">
        <v>13</v>
      </c>
      <c r="J77" s="1" t="str">
        <f t="shared" si="4"/>
        <v>Current</v>
      </c>
      <c r="K77" s="3">
        <v>30</v>
      </c>
      <c r="L77" s="2" t="s">
        <v>745</v>
      </c>
      <c r="M77" t="str">
        <f t="shared" si="5"/>
        <v>Middle Aged</v>
      </c>
      <c r="N77" s="2" t="s">
        <v>737</v>
      </c>
      <c r="O77" s="1" t="str">
        <f t="shared" si="6"/>
        <v>High School Or Below</v>
      </c>
      <c r="P77" s="2" t="s">
        <v>735</v>
      </c>
      <c r="Q77" t="str">
        <f t="shared" si="7"/>
        <v>Male</v>
      </c>
    </row>
    <row r="78" spans="1:17" x14ac:dyDescent="0.25">
      <c r="A78" s="1" t="s">
        <v>131</v>
      </c>
      <c r="B78" s="2" t="s">
        <v>11</v>
      </c>
      <c r="C78" s="3">
        <v>1000</v>
      </c>
      <c r="D78" s="3">
        <v>30</v>
      </c>
      <c r="E78" s="18">
        <v>42683</v>
      </c>
      <c r="F78" s="18">
        <v>42653</v>
      </c>
      <c r="G78" s="19">
        <v>42623.575694444444</v>
      </c>
      <c r="I78" s="2" t="s">
        <v>13</v>
      </c>
      <c r="J78" s="1" t="str">
        <f t="shared" si="4"/>
        <v>Current</v>
      </c>
      <c r="K78" s="3">
        <v>31</v>
      </c>
      <c r="L78" s="2" t="s">
        <v>745</v>
      </c>
      <c r="M78" t="str">
        <f t="shared" si="5"/>
        <v>Middle Aged</v>
      </c>
      <c r="N78" s="2" t="s">
        <v>738</v>
      </c>
      <c r="O78" s="1" t="str">
        <f t="shared" si="6"/>
        <v>Bachelor</v>
      </c>
      <c r="P78" s="2" t="s">
        <v>735</v>
      </c>
      <c r="Q78" t="str">
        <f t="shared" si="7"/>
        <v>Male</v>
      </c>
    </row>
    <row r="79" spans="1:17" x14ac:dyDescent="0.25">
      <c r="A79" s="1" t="s">
        <v>132</v>
      </c>
      <c r="B79" s="2" t="s">
        <v>11</v>
      </c>
      <c r="C79" s="3">
        <v>1000</v>
      </c>
      <c r="D79" s="3">
        <v>30</v>
      </c>
      <c r="E79" s="18">
        <v>42683</v>
      </c>
      <c r="F79" s="18">
        <v>42653</v>
      </c>
      <c r="G79" s="19">
        <v>42653.375</v>
      </c>
      <c r="I79" s="2" t="s">
        <v>13</v>
      </c>
      <c r="J79" s="1" t="str">
        <f t="shared" si="4"/>
        <v>Current</v>
      </c>
      <c r="K79" s="3">
        <v>35</v>
      </c>
      <c r="L79" s="2" t="s">
        <v>743</v>
      </c>
      <c r="M79" t="str">
        <f t="shared" si="5"/>
        <v>Mature</v>
      </c>
      <c r="N79" s="2" t="s">
        <v>739</v>
      </c>
      <c r="O79" s="1" t="str">
        <f t="shared" si="6"/>
        <v>College</v>
      </c>
      <c r="P79" s="2" t="s">
        <v>735</v>
      </c>
      <c r="Q79" t="str">
        <f t="shared" si="7"/>
        <v>Male</v>
      </c>
    </row>
    <row r="80" spans="1:17" x14ac:dyDescent="0.25">
      <c r="A80" s="1" t="s">
        <v>133</v>
      </c>
      <c r="B80" s="2" t="s">
        <v>11</v>
      </c>
      <c r="C80" s="3">
        <v>1000</v>
      </c>
      <c r="D80" s="3">
        <v>30</v>
      </c>
      <c r="E80" s="18">
        <v>42683</v>
      </c>
      <c r="F80" s="18">
        <v>42653</v>
      </c>
      <c r="G80" s="19" t="s">
        <v>134</v>
      </c>
      <c r="I80" s="2" t="s">
        <v>13</v>
      </c>
      <c r="J80" s="1" t="str">
        <f t="shared" si="4"/>
        <v>Current</v>
      </c>
      <c r="K80" s="3">
        <v>37</v>
      </c>
      <c r="L80" s="2" t="s">
        <v>743</v>
      </c>
      <c r="M80" t="str">
        <f t="shared" si="5"/>
        <v>Mature</v>
      </c>
      <c r="N80" s="2" t="s">
        <v>739</v>
      </c>
      <c r="O80" s="1" t="str">
        <f t="shared" si="6"/>
        <v>College</v>
      </c>
      <c r="P80" s="2" t="s">
        <v>736</v>
      </c>
      <c r="Q80" t="str">
        <f t="shared" si="7"/>
        <v>Female</v>
      </c>
    </row>
    <row r="81" spans="1:17" x14ac:dyDescent="0.25">
      <c r="A81" s="1" t="s">
        <v>135</v>
      </c>
      <c r="B81" s="2" t="s">
        <v>11</v>
      </c>
      <c r="C81" s="3">
        <v>1000</v>
      </c>
      <c r="D81" s="3">
        <v>30</v>
      </c>
      <c r="E81" s="18">
        <v>42683</v>
      </c>
      <c r="F81" s="18">
        <v>42653</v>
      </c>
      <c r="G81" s="19">
        <v>42653.375</v>
      </c>
      <c r="I81" s="2" t="s">
        <v>13</v>
      </c>
      <c r="J81" s="1" t="str">
        <f t="shared" si="4"/>
        <v>Current</v>
      </c>
      <c r="K81" s="3">
        <v>44</v>
      </c>
      <c r="L81" s="2" t="s">
        <v>743</v>
      </c>
      <c r="M81" t="str">
        <f t="shared" si="5"/>
        <v>Mature</v>
      </c>
      <c r="N81" s="2" t="s">
        <v>737</v>
      </c>
      <c r="O81" s="1" t="str">
        <f t="shared" si="6"/>
        <v>High School Or Below</v>
      </c>
      <c r="P81" s="2" t="s">
        <v>736</v>
      </c>
      <c r="Q81" t="str">
        <f t="shared" si="7"/>
        <v>Female</v>
      </c>
    </row>
    <row r="82" spans="1:17" x14ac:dyDescent="0.25">
      <c r="A82" s="1" t="s">
        <v>136</v>
      </c>
      <c r="B82" s="2" t="s">
        <v>11</v>
      </c>
      <c r="C82" s="3">
        <v>1000</v>
      </c>
      <c r="D82" s="3">
        <v>30</v>
      </c>
      <c r="E82" s="18">
        <v>42683</v>
      </c>
      <c r="F82" s="18">
        <v>42653</v>
      </c>
      <c r="G82" s="19" t="s">
        <v>137</v>
      </c>
      <c r="I82" s="2" t="s">
        <v>13</v>
      </c>
      <c r="J82" s="1" t="str">
        <f t="shared" si="4"/>
        <v>Current</v>
      </c>
      <c r="K82" s="3">
        <v>28</v>
      </c>
      <c r="L82" s="2" t="s">
        <v>745</v>
      </c>
      <c r="M82" t="str">
        <f t="shared" si="5"/>
        <v>Middle Aged</v>
      </c>
      <c r="N82" s="2" t="s">
        <v>737</v>
      </c>
      <c r="O82" s="1" t="str">
        <f t="shared" si="6"/>
        <v>High School Or Below</v>
      </c>
      <c r="P82" s="2" t="s">
        <v>735</v>
      </c>
      <c r="Q82" t="str">
        <f t="shared" si="7"/>
        <v>Male</v>
      </c>
    </row>
    <row r="83" spans="1:17" x14ac:dyDescent="0.25">
      <c r="A83" s="1" t="s">
        <v>138</v>
      </c>
      <c r="B83" s="2" t="s">
        <v>11</v>
      </c>
      <c r="C83" s="3">
        <v>1000</v>
      </c>
      <c r="D83" s="3">
        <v>7</v>
      </c>
      <c r="E83" s="18">
        <v>42683</v>
      </c>
      <c r="F83" s="18" t="s">
        <v>87</v>
      </c>
      <c r="G83" s="19" t="s">
        <v>139</v>
      </c>
      <c r="I83" s="2" t="s">
        <v>13</v>
      </c>
      <c r="J83" s="1" t="str">
        <f t="shared" si="4"/>
        <v>Current</v>
      </c>
      <c r="K83" s="3">
        <v>25</v>
      </c>
      <c r="L83" s="2" t="s">
        <v>746</v>
      </c>
      <c r="M83" t="str">
        <f t="shared" si="5"/>
        <v xml:space="preserve"> Young Adults</v>
      </c>
      <c r="N83" s="2" t="s">
        <v>739</v>
      </c>
      <c r="O83" s="1" t="str">
        <f t="shared" si="6"/>
        <v>College</v>
      </c>
      <c r="P83" s="2" t="s">
        <v>735</v>
      </c>
      <c r="Q83" t="str">
        <f t="shared" si="7"/>
        <v>Male</v>
      </c>
    </row>
    <row r="84" spans="1:17" x14ac:dyDescent="0.25">
      <c r="A84" s="1" t="s">
        <v>140</v>
      </c>
      <c r="B84" s="2" t="s">
        <v>11</v>
      </c>
      <c r="C84" s="3">
        <v>1000</v>
      </c>
      <c r="D84" s="3">
        <v>15</v>
      </c>
      <c r="E84" s="18">
        <v>42683</v>
      </c>
      <c r="F84" s="18" t="s">
        <v>63</v>
      </c>
      <c r="G84" s="19" t="s">
        <v>71</v>
      </c>
      <c r="I84" s="2" t="s">
        <v>13</v>
      </c>
      <c r="J84" s="1" t="str">
        <f t="shared" si="4"/>
        <v>Current</v>
      </c>
      <c r="K84" s="3">
        <v>29</v>
      </c>
      <c r="L84" s="2" t="s">
        <v>745</v>
      </c>
      <c r="M84" t="str">
        <f t="shared" si="5"/>
        <v>Middle Aged</v>
      </c>
      <c r="N84" s="2" t="s">
        <v>739</v>
      </c>
      <c r="O84" s="1" t="str">
        <f t="shared" si="6"/>
        <v>College</v>
      </c>
      <c r="P84" s="2" t="s">
        <v>735</v>
      </c>
      <c r="Q84" t="str">
        <f t="shared" si="7"/>
        <v>Male</v>
      </c>
    </row>
    <row r="85" spans="1:17" x14ac:dyDescent="0.25">
      <c r="A85" s="1" t="s">
        <v>141</v>
      </c>
      <c r="B85" s="2" t="s">
        <v>11</v>
      </c>
      <c r="C85" s="3">
        <v>800</v>
      </c>
      <c r="D85" s="3">
        <v>15</v>
      </c>
      <c r="E85" s="18">
        <v>42683</v>
      </c>
      <c r="F85" s="18" t="s">
        <v>63</v>
      </c>
      <c r="G85" s="19" t="s">
        <v>74</v>
      </c>
      <c r="I85" s="2" t="s">
        <v>13</v>
      </c>
      <c r="J85" s="1" t="str">
        <f t="shared" si="4"/>
        <v>Current</v>
      </c>
      <c r="K85" s="3">
        <v>33</v>
      </c>
      <c r="L85" s="2" t="s">
        <v>745</v>
      </c>
      <c r="M85" t="str">
        <f t="shared" si="5"/>
        <v>Middle Aged</v>
      </c>
      <c r="N85" s="2" t="s">
        <v>739</v>
      </c>
      <c r="O85" s="1" t="str">
        <f t="shared" si="6"/>
        <v>College</v>
      </c>
      <c r="P85" s="2" t="s">
        <v>735</v>
      </c>
      <c r="Q85" t="str">
        <f t="shared" si="7"/>
        <v>Male</v>
      </c>
    </row>
    <row r="86" spans="1:17" x14ac:dyDescent="0.25">
      <c r="A86" s="1" t="s">
        <v>142</v>
      </c>
      <c r="B86" s="2" t="s">
        <v>11</v>
      </c>
      <c r="C86" s="3">
        <v>1000</v>
      </c>
      <c r="D86" s="3">
        <v>30</v>
      </c>
      <c r="E86" s="18">
        <v>42683</v>
      </c>
      <c r="F86" s="18">
        <v>42653</v>
      </c>
      <c r="G86" s="19">
        <v>42653.541666666664</v>
      </c>
      <c r="I86" s="2" t="s">
        <v>13</v>
      </c>
      <c r="J86" s="1" t="str">
        <f t="shared" si="4"/>
        <v>Current</v>
      </c>
      <c r="K86" s="3">
        <v>37</v>
      </c>
      <c r="L86" s="2" t="s">
        <v>743</v>
      </c>
      <c r="M86" t="str">
        <f t="shared" si="5"/>
        <v>Mature</v>
      </c>
      <c r="N86" s="2" t="s">
        <v>737</v>
      </c>
      <c r="O86" s="1" t="str">
        <f t="shared" si="6"/>
        <v>High School Or Below</v>
      </c>
      <c r="P86" s="2" t="s">
        <v>736</v>
      </c>
      <c r="Q86" t="str">
        <f t="shared" si="7"/>
        <v>Female</v>
      </c>
    </row>
    <row r="87" spans="1:17" x14ac:dyDescent="0.25">
      <c r="A87" s="1" t="s">
        <v>143</v>
      </c>
      <c r="B87" s="2" t="s">
        <v>11</v>
      </c>
      <c r="C87" s="3">
        <v>1000</v>
      </c>
      <c r="D87" s="3">
        <v>30</v>
      </c>
      <c r="E87" s="18">
        <v>42683</v>
      </c>
      <c r="F87" s="18">
        <v>42624</v>
      </c>
      <c r="G87" s="19">
        <v>42624.375</v>
      </c>
      <c r="I87" s="2" t="s">
        <v>13</v>
      </c>
      <c r="J87" s="1" t="str">
        <f t="shared" si="4"/>
        <v>Current</v>
      </c>
      <c r="K87" s="3">
        <v>33</v>
      </c>
      <c r="L87" s="2" t="s">
        <v>745</v>
      </c>
      <c r="M87" t="str">
        <f t="shared" si="5"/>
        <v>Middle Aged</v>
      </c>
      <c r="N87" s="2" t="s">
        <v>739</v>
      </c>
      <c r="O87" s="1" t="str">
        <f t="shared" si="6"/>
        <v>College</v>
      </c>
      <c r="P87" s="2" t="s">
        <v>735</v>
      </c>
      <c r="Q87" t="str">
        <f t="shared" si="7"/>
        <v>Male</v>
      </c>
    </row>
    <row r="88" spans="1:17" x14ac:dyDescent="0.25">
      <c r="A88" s="1" t="s">
        <v>144</v>
      </c>
      <c r="B88" s="2" t="s">
        <v>11</v>
      </c>
      <c r="C88" s="3">
        <v>1000</v>
      </c>
      <c r="D88" s="3">
        <v>30</v>
      </c>
      <c r="E88" s="18">
        <v>42683</v>
      </c>
      <c r="F88" s="18">
        <v>42653</v>
      </c>
      <c r="G88" s="19">
        <v>42653.375</v>
      </c>
      <c r="I88" s="2" t="s">
        <v>13</v>
      </c>
      <c r="J88" s="1" t="str">
        <f t="shared" si="4"/>
        <v>Current</v>
      </c>
      <c r="K88" s="3">
        <v>24</v>
      </c>
      <c r="L88" s="2" t="s">
        <v>746</v>
      </c>
      <c r="M88" t="str">
        <f t="shared" si="5"/>
        <v xml:space="preserve"> Young Adults</v>
      </c>
      <c r="N88" s="2" t="s">
        <v>737</v>
      </c>
      <c r="O88" s="1" t="str">
        <f t="shared" si="6"/>
        <v>High School Or Below</v>
      </c>
      <c r="P88" s="2" t="s">
        <v>736</v>
      </c>
      <c r="Q88" t="str">
        <f t="shared" si="7"/>
        <v>Female</v>
      </c>
    </row>
    <row r="89" spans="1:17" x14ac:dyDescent="0.25">
      <c r="A89" s="1" t="s">
        <v>145</v>
      </c>
      <c r="B89" s="2" t="s">
        <v>11</v>
      </c>
      <c r="C89" s="3">
        <v>1000</v>
      </c>
      <c r="D89" s="3">
        <v>30</v>
      </c>
      <c r="E89" s="18">
        <v>42683</v>
      </c>
      <c r="F89" s="18">
        <v>42653</v>
      </c>
      <c r="G89" s="19" t="s">
        <v>146</v>
      </c>
      <c r="I89" s="2" t="s">
        <v>13</v>
      </c>
      <c r="J89" s="1" t="str">
        <f t="shared" si="4"/>
        <v>Current</v>
      </c>
      <c r="K89" s="3">
        <v>27</v>
      </c>
      <c r="L89" s="2" t="s">
        <v>745</v>
      </c>
      <c r="M89" t="str">
        <f t="shared" si="5"/>
        <v>Middle Aged</v>
      </c>
      <c r="N89" s="2" t="s">
        <v>739</v>
      </c>
      <c r="O89" s="1" t="str">
        <f t="shared" si="6"/>
        <v>College</v>
      </c>
      <c r="P89" s="2" t="s">
        <v>736</v>
      </c>
      <c r="Q89" t="str">
        <f t="shared" si="7"/>
        <v>Female</v>
      </c>
    </row>
    <row r="90" spans="1:17" x14ac:dyDescent="0.25">
      <c r="A90" s="1" t="s">
        <v>147</v>
      </c>
      <c r="B90" s="2" t="s">
        <v>11</v>
      </c>
      <c r="C90" s="3">
        <v>800</v>
      </c>
      <c r="D90" s="3">
        <v>15</v>
      </c>
      <c r="E90" s="18">
        <v>42683</v>
      </c>
      <c r="F90" s="18" t="s">
        <v>63</v>
      </c>
      <c r="G90" s="19" t="s">
        <v>148</v>
      </c>
      <c r="I90" s="2" t="s">
        <v>13</v>
      </c>
      <c r="J90" s="1" t="str">
        <f t="shared" si="4"/>
        <v>Current</v>
      </c>
      <c r="K90" s="3">
        <v>43</v>
      </c>
      <c r="L90" s="2" t="s">
        <v>743</v>
      </c>
      <c r="M90" t="str">
        <f t="shared" si="5"/>
        <v>Mature</v>
      </c>
      <c r="N90" s="2" t="s">
        <v>738</v>
      </c>
      <c r="O90" s="1" t="str">
        <f t="shared" si="6"/>
        <v>Bachelor</v>
      </c>
      <c r="P90" s="2" t="s">
        <v>735</v>
      </c>
      <c r="Q90" t="str">
        <f t="shared" si="7"/>
        <v>Male</v>
      </c>
    </row>
    <row r="91" spans="1:17" x14ac:dyDescent="0.25">
      <c r="A91" s="1" t="s">
        <v>149</v>
      </c>
      <c r="B91" s="2" t="s">
        <v>11</v>
      </c>
      <c r="C91" s="3">
        <v>800</v>
      </c>
      <c r="D91" s="3">
        <v>15</v>
      </c>
      <c r="E91" s="18">
        <v>42683</v>
      </c>
      <c r="F91" s="18" t="s">
        <v>63</v>
      </c>
      <c r="G91" s="19" t="s">
        <v>150</v>
      </c>
      <c r="I91" s="2" t="s">
        <v>13</v>
      </c>
      <c r="J91" s="1" t="str">
        <f t="shared" si="4"/>
        <v>Current</v>
      </c>
      <c r="K91" s="3">
        <v>46</v>
      </c>
      <c r="L91" s="2" t="s">
        <v>743</v>
      </c>
      <c r="M91" t="str">
        <f t="shared" si="5"/>
        <v>Mature</v>
      </c>
      <c r="N91" s="2" t="s">
        <v>737</v>
      </c>
      <c r="O91" s="1" t="str">
        <f t="shared" si="6"/>
        <v>High School Or Below</v>
      </c>
      <c r="P91" s="2" t="s">
        <v>736</v>
      </c>
      <c r="Q91" t="str">
        <f t="shared" si="7"/>
        <v>Female</v>
      </c>
    </row>
    <row r="92" spans="1:17" x14ac:dyDescent="0.25">
      <c r="A92" s="1" t="s">
        <v>151</v>
      </c>
      <c r="B92" s="2" t="s">
        <v>11</v>
      </c>
      <c r="C92" s="3">
        <v>800</v>
      </c>
      <c r="D92" s="3">
        <v>15</v>
      </c>
      <c r="E92" s="18">
        <v>42683</v>
      </c>
      <c r="F92" s="18" t="s">
        <v>63</v>
      </c>
      <c r="G92" s="19" t="s">
        <v>71</v>
      </c>
      <c r="I92" s="2" t="s">
        <v>13</v>
      </c>
      <c r="J92" s="1" t="str">
        <f t="shared" si="4"/>
        <v>Current</v>
      </c>
      <c r="K92" s="3">
        <v>34</v>
      </c>
      <c r="L92" s="2" t="s">
        <v>743</v>
      </c>
      <c r="M92" t="str">
        <f t="shared" si="5"/>
        <v>Mature</v>
      </c>
      <c r="N92" s="2" t="s">
        <v>739</v>
      </c>
      <c r="O92" s="1" t="str">
        <f t="shared" si="6"/>
        <v>College</v>
      </c>
      <c r="P92" s="2" t="s">
        <v>736</v>
      </c>
      <c r="Q92" t="str">
        <f t="shared" si="7"/>
        <v>Female</v>
      </c>
    </row>
    <row r="93" spans="1:17" x14ac:dyDescent="0.25">
      <c r="A93" s="1" t="s">
        <v>152</v>
      </c>
      <c r="B93" s="2" t="s">
        <v>11</v>
      </c>
      <c r="C93" s="3">
        <v>1000</v>
      </c>
      <c r="D93" s="3">
        <v>7</v>
      </c>
      <c r="E93" s="18">
        <v>42683</v>
      </c>
      <c r="F93" s="18" t="s">
        <v>87</v>
      </c>
      <c r="G93" s="19" t="s">
        <v>153</v>
      </c>
      <c r="I93" s="2" t="s">
        <v>13</v>
      </c>
      <c r="J93" s="1" t="str">
        <f t="shared" si="4"/>
        <v>Current</v>
      </c>
      <c r="K93" s="3">
        <v>32</v>
      </c>
      <c r="L93" s="2" t="s">
        <v>745</v>
      </c>
      <c r="M93" t="str">
        <f t="shared" si="5"/>
        <v>Middle Aged</v>
      </c>
      <c r="N93" s="2" t="s">
        <v>738</v>
      </c>
      <c r="O93" s="1" t="str">
        <f t="shared" si="6"/>
        <v>Bachelor</v>
      </c>
      <c r="P93" s="2" t="s">
        <v>736</v>
      </c>
      <c r="Q93" t="str">
        <f t="shared" si="7"/>
        <v>Female</v>
      </c>
    </row>
    <row r="94" spans="1:17" x14ac:dyDescent="0.25">
      <c r="A94" s="1" t="s">
        <v>154</v>
      </c>
      <c r="B94" s="2" t="s">
        <v>11</v>
      </c>
      <c r="C94" s="3">
        <v>800</v>
      </c>
      <c r="D94" s="3">
        <v>15</v>
      </c>
      <c r="E94" s="18">
        <v>42683</v>
      </c>
      <c r="F94" s="18" t="s">
        <v>63</v>
      </c>
      <c r="G94" s="19" t="s">
        <v>155</v>
      </c>
      <c r="I94" s="2" t="s">
        <v>13</v>
      </c>
      <c r="J94" s="1" t="str">
        <f t="shared" si="4"/>
        <v>Current</v>
      </c>
      <c r="K94" s="3">
        <v>38</v>
      </c>
      <c r="L94" s="2" t="s">
        <v>743</v>
      </c>
      <c r="M94" t="str">
        <f t="shared" si="5"/>
        <v>Mature</v>
      </c>
      <c r="N94" s="2" t="s">
        <v>737</v>
      </c>
      <c r="O94" s="1" t="str">
        <f t="shared" si="6"/>
        <v>High School Or Below</v>
      </c>
      <c r="P94" s="2" t="s">
        <v>735</v>
      </c>
      <c r="Q94" t="str">
        <f t="shared" si="7"/>
        <v>Male</v>
      </c>
    </row>
    <row r="95" spans="1:17" x14ac:dyDescent="0.25">
      <c r="A95" s="1" t="s">
        <v>156</v>
      </c>
      <c r="B95" s="2" t="s">
        <v>11</v>
      </c>
      <c r="C95" s="3">
        <v>800</v>
      </c>
      <c r="D95" s="3">
        <v>15</v>
      </c>
      <c r="E95" s="18">
        <v>42683</v>
      </c>
      <c r="F95" s="18" t="s">
        <v>63</v>
      </c>
      <c r="G95" s="19" t="s">
        <v>157</v>
      </c>
      <c r="I95" s="2" t="s">
        <v>13</v>
      </c>
      <c r="J95" s="1" t="str">
        <f t="shared" si="4"/>
        <v>Current</v>
      </c>
      <c r="K95" s="3">
        <v>27</v>
      </c>
      <c r="L95" s="2" t="s">
        <v>745</v>
      </c>
      <c r="M95" t="str">
        <f t="shared" si="5"/>
        <v>Middle Aged</v>
      </c>
      <c r="N95" s="2" t="s">
        <v>737</v>
      </c>
      <c r="O95" s="1" t="str">
        <f t="shared" si="6"/>
        <v>High School Or Below</v>
      </c>
      <c r="P95" s="2" t="s">
        <v>735</v>
      </c>
      <c r="Q95" t="str">
        <f t="shared" si="7"/>
        <v>Male</v>
      </c>
    </row>
    <row r="96" spans="1:17" x14ac:dyDescent="0.25">
      <c r="A96" s="1" t="s">
        <v>158</v>
      </c>
      <c r="B96" s="2" t="s">
        <v>11</v>
      </c>
      <c r="C96" s="3">
        <v>1000</v>
      </c>
      <c r="D96" s="3">
        <v>30</v>
      </c>
      <c r="E96" s="18">
        <v>42683</v>
      </c>
      <c r="F96" s="18">
        <v>42653</v>
      </c>
      <c r="G96" s="19">
        <v>42653.541666666664</v>
      </c>
      <c r="I96" s="2" t="s">
        <v>13</v>
      </c>
      <c r="J96" s="1" t="str">
        <f t="shared" si="4"/>
        <v>Current</v>
      </c>
      <c r="K96" s="3">
        <v>33</v>
      </c>
      <c r="L96" s="2" t="s">
        <v>745</v>
      </c>
      <c r="M96" t="str">
        <f t="shared" si="5"/>
        <v>Middle Aged</v>
      </c>
      <c r="N96" s="2" t="s">
        <v>737</v>
      </c>
      <c r="O96" s="1" t="str">
        <f t="shared" si="6"/>
        <v>High School Or Below</v>
      </c>
      <c r="P96" s="2" t="s">
        <v>735</v>
      </c>
      <c r="Q96" t="str">
        <f t="shared" si="7"/>
        <v>Male</v>
      </c>
    </row>
    <row r="97" spans="1:17" x14ac:dyDescent="0.25">
      <c r="A97" s="1" t="s">
        <v>159</v>
      </c>
      <c r="B97" s="2" t="s">
        <v>11</v>
      </c>
      <c r="C97" s="3">
        <v>1000</v>
      </c>
      <c r="D97" s="3">
        <v>30</v>
      </c>
      <c r="E97" s="18">
        <v>42683</v>
      </c>
      <c r="F97" s="18">
        <v>42653</v>
      </c>
      <c r="G97" s="19">
        <v>42592.867361111108</v>
      </c>
      <c r="I97" s="2" t="s">
        <v>13</v>
      </c>
      <c r="J97" s="1" t="str">
        <f t="shared" si="4"/>
        <v>Current</v>
      </c>
      <c r="K97" s="3">
        <v>36</v>
      </c>
      <c r="L97" s="2" t="s">
        <v>743</v>
      </c>
      <c r="M97" t="str">
        <f t="shared" si="5"/>
        <v>Mature</v>
      </c>
      <c r="N97" s="2" t="s">
        <v>739</v>
      </c>
      <c r="O97" s="1" t="str">
        <f t="shared" si="6"/>
        <v>College</v>
      </c>
      <c r="P97" s="2" t="s">
        <v>735</v>
      </c>
      <c r="Q97" t="str">
        <f t="shared" si="7"/>
        <v>Male</v>
      </c>
    </row>
    <row r="98" spans="1:17" x14ac:dyDescent="0.25">
      <c r="A98" s="1" t="s">
        <v>160</v>
      </c>
      <c r="B98" s="2" t="s">
        <v>11</v>
      </c>
      <c r="C98" s="3">
        <v>1000</v>
      </c>
      <c r="D98" s="3">
        <v>15</v>
      </c>
      <c r="E98" s="18">
        <v>42683</v>
      </c>
      <c r="F98" s="18" t="s">
        <v>63</v>
      </c>
      <c r="G98" s="19" t="s">
        <v>161</v>
      </c>
      <c r="I98" s="2" t="s">
        <v>13</v>
      </c>
      <c r="J98" s="1" t="str">
        <f t="shared" si="4"/>
        <v>Current</v>
      </c>
      <c r="K98" s="3">
        <v>26</v>
      </c>
      <c r="L98" s="2" t="s">
        <v>745</v>
      </c>
      <c r="M98" t="str">
        <f t="shared" si="5"/>
        <v>Middle Aged</v>
      </c>
      <c r="N98" s="2" t="s">
        <v>737</v>
      </c>
      <c r="O98" s="1" t="str">
        <f t="shared" si="6"/>
        <v>High School Or Below</v>
      </c>
      <c r="P98" s="2" t="s">
        <v>735</v>
      </c>
      <c r="Q98" t="str">
        <f t="shared" si="7"/>
        <v>Male</v>
      </c>
    </row>
    <row r="99" spans="1:17" x14ac:dyDescent="0.25">
      <c r="A99" s="1" t="s">
        <v>162</v>
      </c>
      <c r="B99" s="2" t="s">
        <v>11</v>
      </c>
      <c r="C99" s="3">
        <v>1000</v>
      </c>
      <c r="D99" s="3">
        <v>30</v>
      </c>
      <c r="E99" s="18">
        <v>42683</v>
      </c>
      <c r="F99" s="18">
        <v>42653</v>
      </c>
      <c r="G99" s="19">
        <v>42653.375694444447</v>
      </c>
      <c r="I99" s="2" t="s">
        <v>13</v>
      </c>
      <c r="J99" s="1" t="str">
        <f t="shared" si="4"/>
        <v>Current</v>
      </c>
      <c r="K99" s="3">
        <v>34</v>
      </c>
      <c r="L99" s="2" t="s">
        <v>743</v>
      </c>
      <c r="M99" t="str">
        <f t="shared" si="5"/>
        <v>Mature</v>
      </c>
      <c r="N99" s="2" t="s">
        <v>739</v>
      </c>
      <c r="O99" s="1" t="str">
        <f t="shared" si="6"/>
        <v>College</v>
      </c>
      <c r="P99" s="2" t="s">
        <v>735</v>
      </c>
      <c r="Q99" t="str">
        <f t="shared" si="7"/>
        <v>Male</v>
      </c>
    </row>
    <row r="100" spans="1:17" x14ac:dyDescent="0.25">
      <c r="A100" s="1" t="s">
        <v>163</v>
      </c>
      <c r="B100" s="2" t="s">
        <v>11</v>
      </c>
      <c r="C100" s="3">
        <v>1000</v>
      </c>
      <c r="D100" s="3">
        <v>30</v>
      </c>
      <c r="E100" s="18">
        <v>42683</v>
      </c>
      <c r="F100" s="18">
        <v>42653</v>
      </c>
      <c r="G100" s="19">
        <v>42653.375694444447</v>
      </c>
      <c r="I100" s="2" t="s">
        <v>13</v>
      </c>
      <c r="J100" s="1" t="str">
        <f t="shared" si="4"/>
        <v>Current</v>
      </c>
      <c r="K100" s="3">
        <v>22</v>
      </c>
      <c r="L100" s="2" t="s">
        <v>746</v>
      </c>
      <c r="M100" t="str">
        <f t="shared" si="5"/>
        <v xml:space="preserve"> Young Adults</v>
      </c>
      <c r="N100" s="2" t="s">
        <v>737</v>
      </c>
      <c r="O100" s="1" t="str">
        <f t="shared" si="6"/>
        <v>High School Or Below</v>
      </c>
      <c r="P100" s="2" t="s">
        <v>735</v>
      </c>
      <c r="Q100" t="str">
        <f t="shared" si="7"/>
        <v>Male</v>
      </c>
    </row>
    <row r="101" spans="1:17" x14ac:dyDescent="0.25">
      <c r="A101" s="1" t="s">
        <v>164</v>
      </c>
      <c r="B101" s="2" t="s">
        <v>11</v>
      </c>
      <c r="C101" s="3">
        <v>1000</v>
      </c>
      <c r="D101" s="3">
        <v>30</v>
      </c>
      <c r="E101" s="18">
        <v>42683</v>
      </c>
      <c r="F101" s="18">
        <v>42653</v>
      </c>
      <c r="G101" s="19">
        <v>42592.704861111109</v>
      </c>
      <c r="I101" s="2" t="s">
        <v>13</v>
      </c>
      <c r="J101" s="1" t="str">
        <f t="shared" si="4"/>
        <v>Current</v>
      </c>
      <c r="K101" s="3">
        <v>31</v>
      </c>
      <c r="L101" s="2" t="s">
        <v>745</v>
      </c>
      <c r="M101" t="str">
        <f t="shared" si="5"/>
        <v>Middle Aged</v>
      </c>
      <c r="N101" s="2" t="s">
        <v>738</v>
      </c>
      <c r="O101" s="1" t="str">
        <f t="shared" si="6"/>
        <v>Bachelor</v>
      </c>
      <c r="P101" s="2" t="s">
        <v>736</v>
      </c>
      <c r="Q101" t="str">
        <f t="shared" si="7"/>
        <v>Female</v>
      </c>
    </row>
    <row r="102" spans="1:17" x14ac:dyDescent="0.25">
      <c r="A102" s="1" t="s">
        <v>165</v>
      </c>
      <c r="B102" s="2" t="s">
        <v>11</v>
      </c>
      <c r="C102" s="3">
        <v>1000</v>
      </c>
      <c r="D102" s="3">
        <v>7</v>
      </c>
      <c r="E102" s="18">
        <v>42683</v>
      </c>
      <c r="F102" s="18" t="s">
        <v>87</v>
      </c>
      <c r="G102" s="19" t="s">
        <v>153</v>
      </c>
      <c r="I102" s="2" t="s">
        <v>13</v>
      </c>
      <c r="J102" s="1" t="str">
        <f t="shared" si="4"/>
        <v>Current</v>
      </c>
      <c r="K102" s="3">
        <v>29</v>
      </c>
      <c r="L102" s="2" t="s">
        <v>745</v>
      </c>
      <c r="M102" t="str">
        <f t="shared" si="5"/>
        <v>Middle Aged</v>
      </c>
      <c r="N102" s="2" t="s">
        <v>737</v>
      </c>
      <c r="O102" s="1" t="str">
        <f t="shared" si="6"/>
        <v>High School Or Below</v>
      </c>
      <c r="P102" s="2" t="s">
        <v>735</v>
      </c>
      <c r="Q102" t="str">
        <f t="shared" si="7"/>
        <v>Male</v>
      </c>
    </row>
    <row r="103" spans="1:17" x14ac:dyDescent="0.25">
      <c r="A103" s="1" t="s">
        <v>166</v>
      </c>
      <c r="B103" s="2" t="s">
        <v>11</v>
      </c>
      <c r="C103" s="3">
        <v>800</v>
      </c>
      <c r="D103" s="3">
        <v>15</v>
      </c>
      <c r="E103" s="18">
        <v>42683</v>
      </c>
      <c r="F103" s="18" t="s">
        <v>63</v>
      </c>
      <c r="G103" s="19" t="s">
        <v>71</v>
      </c>
      <c r="I103" s="2" t="s">
        <v>13</v>
      </c>
      <c r="J103" s="1" t="str">
        <f t="shared" si="4"/>
        <v>Current</v>
      </c>
      <c r="K103" s="3">
        <v>38</v>
      </c>
      <c r="L103" s="2" t="s">
        <v>743</v>
      </c>
      <c r="M103" t="str">
        <f t="shared" si="5"/>
        <v>Mature</v>
      </c>
      <c r="N103" s="2" t="s">
        <v>739</v>
      </c>
      <c r="O103" s="1" t="str">
        <f t="shared" si="6"/>
        <v>College</v>
      </c>
      <c r="P103" s="2" t="s">
        <v>735</v>
      </c>
      <c r="Q103" t="str">
        <f t="shared" si="7"/>
        <v>Male</v>
      </c>
    </row>
    <row r="104" spans="1:17" x14ac:dyDescent="0.25">
      <c r="A104" s="1" t="s">
        <v>167</v>
      </c>
      <c r="B104" s="2" t="s">
        <v>11</v>
      </c>
      <c r="C104" s="3">
        <v>1000</v>
      </c>
      <c r="D104" s="3">
        <v>30</v>
      </c>
      <c r="E104" s="18">
        <v>42683</v>
      </c>
      <c r="F104" s="18">
        <v>42653</v>
      </c>
      <c r="G104" s="19">
        <v>42653.666666666664</v>
      </c>
      <c r="I104" s="2" t="s">
        <v>13</v>
      </c>
      <c r="J104" s="1" t="str">
        <f t="shared" si="4"/>
        <v>Current</v>
      </c>
      <c r="K104" s="3">
        <v>30</v>
      </c>
      <c r="L104" s="2" t="s">
        <v>745</v>
      </c>
      <c r="M104" t="str">
        <f t="shared" si="5"/>
        <v>Middle Aged</v>
      </c>
      <c r="N104" s="2" t="s">
        <v>739</v>
      </c>
      <c r="O104" s="1" t="str">
        <f t="shared" si="6"/>
        <v>College</v>
      </c>
      <c r="P104" s="2" t="s">
        <v>735</v>
      </c>
      <c r="Q104" t="str">
        <f t="shared" si="7"/>
        <v>Male</v>
      </c>
    </row>
    <row r="105" spans="1:17" x14ac:dyDescent="0.25">
      <c r="A105" s="1" t="s">
        <v>168</v>
      </c>
      <c r="B105" s="2" t="s">
        <v>11</v>
      </c>
      <c r="C105" s="3">
        <v>1000</v>
      </c>
      <c r="D105" s="3">
        <v>15</v>
      </c>
      <c r="E105" s="18">
        <v>42683</v>
      </c>
      <c r="F105" s="18" t="s">
        <v>63</v>
      </c>
      <c r="G105" s="19" t="s">
        <v>169</v>
      </c>
      <c r="I105" s="2" t="s">
        <v>13</v>
      </c>
      <c r="J105" s="1" t="str">
        <f t="shared" si="4"/>
        <v>Current</v>
      </c>
      <c r="K105" s="3">
        <v>45</v>
      </c>
      <c r="L105" s="2" t="s">
        <v>743</v>
      </c>
      <c r="M105" t="str">
        <f t="shared" si="5"/>
        <v>Mature</v>
      </c>
      <c r="N105" s="2" t="s">
        <v>737</v>
      </c>
      <c r="O105" s="1" t="str">
        <f t="shared" si="6"/>
        <v>High School Or Below</v>
      </c>
      <c r="P105" s="2" t="s">
        <v>735</v>
      </c>
      <c r="Q105" t="str">
        <f t="shared" si="7"/>
        <v>Male</v>
      </c>
    </row>
    <row r="106" spans="1:17" x14ac:dyDescent="0.25">
      <c r="A106" s="1" t="s">
        <v>170</v>
      </c>
      <c r="B106" s="2" t="s">
        <v>11</v>
      </c>
      <c r="C106" s="3">
        <v>1000</v>
      </c>
      <c r="D106" s="3">
        <v>15</v>
      </c>
      <c r="E106" s="18">
        <v>42683</v>
      </c>
      <c r="F106" s="18" t="s">
        <v>63</v>
      </c>
      <c r="G106" s="19" t="s">
        <v>171</v>
      </c>
      <c r="I106" s="2" t="s">
        <v>13</v>
      </c>
      <c r="J106" s="1" t="str">
        <f t="shared" si="4"/>
        <v>Current</v>
      </c>
      <c r="K106" s="3">
        <v>35</v>
      </c>
      <c r="L106" s="2" t="s">
        <v>743</v>
      </c>
      <c r="M106" t="str">
        <f t="shared" si="5"/>
        <v>Mature</v>
      </c>
      <c r="N106" s="2" t="s">
        <v>739</v>
      </c>
      <c r="O106" s="1" t="str">
        <f t="shared" si="6"/>
        <v>College</v>
      </c>
      <c r="P106" s="2" t="s">
        <v>735</v>
      </c>
      <c r="Q106" t="str">
        <f t="shared" si="7"/>
        <v>Male</v>
      </c>
    </row>
    <row r="107" spans="1:17" x14ac:dyDescent="0.25">
      <c r="A107" s="1" t="s">
        <v>172</v>
      </c>
      <c r="B107" s="2" t="s">
        <v>11</v>
      </c>
      <c r="C107" s="3">
        <v>1000</v>
      </c>
      <c r="D107" s="3">
        <v>30</v>
      </c>
      <c r="E107" s="18">
        <v>42683</v>
      </c>
      <c r="F107" s="18">
        <v>42653</v>
      </c>
      <c r="G107" s="19" t="s">
        <v>173</v>
      </c>
      <c r="I107" s="2" t="s">
        <v>13</v>
      </c>
      <c r="J107" s="1" t="str">
        <f t="shared" si="4"/>
        <v>Current</v>
      </c>
      <c r="K107" s="3">
        <v>30</v>
      </c>
      <c r="L107" s="2" t="s">
        <v>745</v>
      </c>
      <c r="M107" t="str">
        <f t="shared" si="5"/>
        <v>Middle Aged</v>
      </c>
      <c r="N107" s="2" t="s">
        <v>739</v>
      </c>
      <c r="O107" s="1" t="str">
        <f t="shared" si="6"/>
        <v>College</v>
      </c>
      <c r="P107" s="2" t="s">
        <v>735</v>
      </c>
      <c r="Q107" t="str">
        <f t="shared" si="7"/>
        <v>Male</v>
      </c>
    </row>
    <row r="108" spans="1:17" x14ac:dyDescent="0.25">
      <c r="A108" s="1" t="s">
        <v>174</v>
      </c>
      <c r="B108" s="2" t="s">
        <v>11</v>
      </c>
      <c r="C108" s="3">
        <v>1000</v>
      </c>
      <c r="D108" s="3">
        <v>30</v>
      </c>
      <c r="E108" s="18">
        <v>42683</v>
      </c>
      <c r="F108" s="18">
        <v>42653</v>
      </c>
      <c r="G108" s="19">
        <v>42592.72152777778</v>
      </c>
      <c r="I108" s="2" t="s">
        <v>13</v>
      </c>
      <c r="J108" s="1" t="str">
        <f t="shared" si="4"/>
        <v>Current</v>
      </c>
      <c r="K108" s="3">
        <v>31</v>
      </c>
      <c r="L108" s="2" t="s">
        <v>745</v>
      </c>
      <c r="M108" t="str">
        <f t="shared" si="5"/>
        <v>Middle Aged</v>
      </c>
      <c r="N108" s="2" t="s">
        <v>737</v>
      </c>
      <c r="O108" s="1" t="str">
        <f t="shared" si="6"/>
        <v>High School Or Below</v>
      </c>
      <c r="P108" s="2" t="s">
        <v>735</v>
      </c>
      <c r="Q108" t="str">
        <f t="shared" si="7"/>
        <v>Male</v>
      </c>
    </row>
    <row r="109" spans="1:17" x14ac:dyDescent="0.25">
      <c r="A109" s="1" t="s">
        <v>175</v>
      </c>
      <c r="B109" s="2" t="s">
        <v>11</v>
      </c>
      <c r="C109" s="3">
        <v>1000</v>
      </c>
      <c r="D109" s="3">
        <v>30</v>
      </c>
      <c r="E109" s="18">
        <v>42683</v>
      </c>
      <c r="F109" s="18">
        <v>42653</v>
      </c>
      <c r="G109" s="19">
        <v>42653.375694444447</v>
      </c>
      <c r="I109" s="2" t="s">
        <v>13</v>
      </c>
      <c r="J109" s="1" t="str">
        <f t="shared" si="4"/>
        <v>Current</v>
      </c>
      <c r="K109" s="3">
        <v>31</v>
      </c>
      <c r="L109" s="2" t="s">
        <v>745</v>
      </c>
      <c r="M109" t="str">
        <f t="shared" si="5"/>
        <v>Middle Aged</v>
      </c>
      <c r="N109" s="2" t="s">
        <v>737</v>
      </c>
      <c r="O109" s="1" t="str">
        <f t="shared" si="6"/>
        <v>High School Or Below</v>
      </c>
      <c r="P109" s="2" t="s">
        <v>735</v>
      </c>
      <c r="Q109" t="str">
        <f t="shared" si="7"/>
        <v>Male</v>
      </c>
    </row>
    <row r="110" spans="1:17" x14ac:dyDescent="0.25">
      <c r="A110" s="1" t="s">
        <v>176</v>
      </c>
      <c r="B110" s="2" t="s">
        <v>11</v>
      </c>
      <c r="C110" s="3">
        <v>1000</v>
      </c>
      <c r="D110" s="3">
        <v>30</v>
      </c>
      <c r="E110" s="18">
        <v>42683</v>
      </c>
      <c r="F110" s="18">
        <v>42653</v>
      </c>
      <c r="G110" s="19">
        <v>42623.545138888891</v>
      </c>
      <c r="I110" s="2" t="s">
        <v>13</v>
      </c>
      <c r="J110" s="1" t="str">
        <f t="shared" si="4"/>
        <v>Current</v>
      </c>
      <c r="K110" s="3">
        <v>28</v>
      </c>
      <c r="L110" s="2" t="s">
        <v>745</v>
      </c>
      <c r="M110" t="str">
        <f t="shared" si="5"/>
        <v>Middle Aged</v>
      </c>
      <c r="N110" s="2" t="s">
        <v>739</v>
      </c>
      <c r="O110" s="1" t="str">
        <f t="shared" si="6"/>
        <v>College</v>
      </c>
      <c r="P110" s="2" t="s">
        <v>735</v>
      </c>
      <c r="Q110" t="str">
        <f t="shared" si="7"/>
        <v>Male</v>
      </c>
    </row>
    <row r="111" spans="1:17" x14ac:dyDescent="0.25">
      <c r="A111" s="1" t="s">
        <v>177</v>
      </c>
      <c r="B111" s="2" t="s">
        <v>11</v>
      </c>
      <c r="C111" s="3">
        <v>1000</v>
      </c>
      <c r="D111" s="3">
        <v>7</v>
      </c>
      <c r="E111" s="18">
        <v>42683</v>
      </c>
      <c r="F111" s="18" t="s">
        <v>39</v>
      </c>
      <c r="G111" s="19" t="s">
        <v>29</v>
      </c>
      <c r="I111" s="2" t="s">
        <v>13</v>
      </c>
      <c r="J111" s="1" t="str">
        <f t="shared" si="4"/>
        <v>Current</v>
      </c>
      <c r="K111" s="3">
        <v>29</v>
      </c>
      <c r="L111" s="2" t="s">
        <v>745</v>
      </c>
      <c r="M111" t="str">
        <f t="shared" si="5"/>
        <v>Middle Aged</v>
      </c>
      <c r="N111" s="2" t="s">
        <v>739</v>
      </c>
      <c r="O111" s="1" t="str">
        <f t="shared" si="6"/>
        <v>College</v>
      </c>
      <c r="P111" s="2" t="s">
        <v>735</v>
      </c>
      <c r="Q111" t="str">
        <f t="shared" si="7"/>
        <v>Male</v>
      </c>
    </row>
    <row r="112" spans="1:17" x14ac:dyDescent="0.25">
      <c r="A112" s="1" t="s">
        <v>178</v>
      </c>
      <c r="B112" s="2" t="s">
        <v>11</v>
      </c>
      <c r="C112" s="3">
        <v>800</v>
      </c>
      <c r="D112" s="3">
        <v>15</v>
      </c>
      <c r="E112" s="18">
        <v>42683</v>
      </c>
      <c r="F112" s="18" t="s">
        <v>63</v>
      </c>
      <c r="G112" s="19" t="s">
        <v>179</v>
      </c>
      <c r="I112" s="2" t="s">
        <v>13</v>
      </c>
      <c r="J112" s="1" t="str">
        <f t="shared" si="4"/>
        <v>Current</v>
      </c>
      <c r="K112" s="3">
        <v>29</v>
      </c>
      <c r="L112" s="2" t="s">
        <v>745</v>
      </c>
      <c r="M112" t="str">
        <f t="shared" si="5"/>
        <v>Middle Aged</v>
      </c>
      <c r="N112" s="2" t="s">
        <v>739</v>
      </c>
      <c r="O112" s="1" t="str">
        <f t="shared" si="6"/>
        <v>College</v>
      </c>
      <c r="P112" s="2" t="s">
        <v>735</v>
      </c>
      <c r="Q112" t="str">
        <f t="shared" si="7"/>
        <v>Male</v>
      </c>
    </row>
    <row r="113" spans="1:17" x14ac:dyDescent="0.25">
      <c r="A113" s="1" t="s">
        <v>180</v>
      </c>
      <c r="B113" s="2" t="s">
        <v>11</v>
      </c>
      <c r="C113" s="3">
        <v>1000</v>
      </c>
      <c r="D113" s="3">
        <v>30</v>
      </c>
      <c r="E113" s="18">
        <v>42683</v>
      </c>
      <c r="F113" s="18">
        <v>42624</v>
      </c>
      <c r="G113" s="19">
        <v>42624.375</v>
      </c>
      <c r="I113" s="2" t="s">
        <v>13</v>
      </c>
      <c r="J113" s="1" t="str">
        <f t="shared" si="4"/>
        <v>Current</v>
      </c>
      <c r="K113" s="3">
        <v>27</v>
      </c>
      <c r="L113" s="2" t="s">
        <v>745</v>
      </c>
      <c r="M113" t="str">
        <f t="shared" si="5"/>
        <v>Middle Aged</v>
      </c>
      <c r="N113" s="2" t="s">
        <v>739</v>
      </c>
      <c r="O113" s="1" t="str">
        <f t="shared" si="6"/>
        <v>College</v>
      </c>
      <c r="P113" s="2" t="s">
        <v>736</v>
      </c>
      <c r="Q113" t="str">
        <f t="shared" si="7"/>
        <v>Female</v>
      </c>
    </row>
    <row r="114" spans="1:17" x14ac:dyDescent="0.25">
      <c r="A114" s="1" t="s">
        <v>181</v>
      </c>
      <c r="B114" s="2" t="s">
        <v>11</v>
      </c>
      <c r="C114" s="3">
        <v>1000</v>
      </c>
      <c r="D114" s="3">
        <v>30</v>
      </c>
      <c r="E114" s="18">
        <v>42683</v>
      </c>
      <c r="F114" s="18">
        <v>42653</v>
      </c>
      <c r="G114" s="19">
        <v>42653.375694444447</v>
      </c>
      <c r="I114" s="2" t="s">
        <v>13</v>
      </c>
      <c r="J114" s="1" t="str">
        <f t="shared" si="4"/>
        <v>Current</v>
      </c>
      <c r="K114" s="3">
        <v>27</v>
      </c>
      <c r="L114" s="2" t="s">
        <v>745</v>
      </c>
      <c r="M114" t="str">
        <f t="shared" si="5"/>
        <v>Middle Aged</v>
      </c>
      <c r="N114" s="2" t="s">
        <v>739</v>
      </c>
      <c r="O114" s="1" t="str">
        <f t="shared" si="6"/>
        <v>College</v>
      </c>
      <c r="P114" s="2" t="s">
        <v>735</v>
      </c>
      <c r="Q114" t="str">
        <f t="shared" si="7"/>
        <v>Male</v>
      </c>
    </row>
    <row r="115" spans="1:17" x14ac:dyDescent="0.25">
      <c r="A115" s="1" t="s">
        <v>182</v>
      </c>
      <c r="B115" s="2" t="s">
        <v>11</v>
      </c>
      <c r="C115" s="3">
        <v>1000</v>
      </c>
      <c r="D115" s="3">
        <v>30</v>
      </c>
      <c r="E115" s="18">
        <v>42683</v>
      </c>
      <c r="F115" s="18">
        <v>42653</v>
      </c>
      <c r="G115" s="19">
        <v>42653.542361111111</v>
      </c>
      <c r="I115" s="2" t="s">
        <v>13</v>
      </c>
      <c r="J115" s="1" t="str">
        <f t="shared" si="4"/>
        <v>Current</v>
      </c>
      <c r="K115" s="3">
        <v>33</v>
      </c>
      <c r="L115" s="2" t="s">
        <v>745</v>
      </c>
      <c r="M115" t="str">
        <f t="shared" si="5"/>
        <v>Middle Aged</v>
      </c>
      <c r="N115" s="2" t="s">
        <v>739</v>
      </c>
      <c r="O115" s="1" t="str">
        <f t="shared" si="6"/>
        <v>College</v>
      </c>
      <c r="P115" s="2" t="s">
        <v>735</v>
      </c>
      <c r="Q115" t="str">
        <f t="shared" si="7"/>
        <v>Male</v>
      </c>
    </row>
    <row r="116" spans="1:17" x14ac:dyDescent="0.25">
      <c r="A116" s="1" t="s">
        <v>183</v>
      </c>
      <c r="B116" s="2" t="s">
        <v>11</v>
      </c>
      <c r="C116" s="3">
        <v>1000</v>
      </c>
      <c r="D116" s="3">
        <v>30</v>
      </c>
      <c r="E116" s="18">
        <v>42683</v>
      </c>
      <c r="F116" s="18">
        <v>42653</v>
      </c>
      <c r="G116" s="19">
        <v>42592.902083333334</v>
      </c>
      <c r="I116" s="2" t="s">
        <v>13</v>
      </c>
      <c r="J116" s="1" t="str">
        <f t="shared" si="4"/>
        <v>Current</v>
      </c>
      <c r="K116" s="3">
        <v>28</v>
      </c>
      <c r="L116" s="2" t="s">
        <v>745</v>
      </c>
      <c r="M116" t="str">
        <f t="shared" si="5"/>
        <v>Middle Aged</v>
      </c>
      <c r="N116" s="2" t="s">
        <v>739</v>
      </c>
      <c r="O116" s="1" t="str">
        <f t="shared" si="6"/>
        <v>College</v>
      </c>
      <c r="P116" s="2" t="s">
        <v>735</v>
      </c>
      <c r="Q116" t="str">
        <f t="shared" si="7"/>
        <v>Male</v>
      </c>
    </row>
    <row r="117" spans="1:17" x14ac:dyDescent="0.25">
      <c r="A117" s="1" t="s">
        <v>184</v>
      </c>
      <c r="B117" s="2" t="s">
        <v>11</v>
      </c>
      <c r="C117" s="3">
        <v>1000</v>
      </c>
      <c r="D117" s="3">
        <v>15</v>
      </c>
      <c r="E117" s="18">
        <v>42683</v>
      </c>
      <c r="F117" s="18" t="s">
        <v>63</v>
      </c>
      <c r="G117" s="19" t="s">
        <v>116</v>
      </c>
      <c r="I117" s="2" t="s">
        <v>13</v>
      </c>
      <c r="J117" s="1" t="str">
        <f t="shared" si="4"/>
        <v>Current</v>
      </c>
      <c r="K117" s="3">
        <v>25</v>
      </c>
      <c r="L117" s="2" t="s">
        <v>746</v>
      </c>
      <c r="M117" t="str">
        <f t="shared" si="5"/>
        <v xml:space="preserve"> Young Adults</v>
      </c>
      <c r="N117" s="2" t="s">
        <v>737</v>
      </c>
      <c r="O117" s="1" t="str">
        <f t="shared" si="6"/>
        <v>High School Or Below</v>
      </c>
      <c r="P117" s="2" t="s">
        <v>735</v>
      </c>
      <c r="Q117" t="str">
        <f t="shared" si="7"/>
        <v>Male</v>
      </c>
    </row>
    <row r="118" spans="1:17" x14ac:dyDescent="0.25">
      <c r="A118" s="1" t="s">
        <v>185</v>
      </c>
      <c r="B118" s="2" t="s">
        <v>11</v>
      </c>
      <c r="C118" s="3">
        <v>1000</v>
      </c>
      <c r="D118" s="3">
        <v>30</v>
      </c>
      <c r="E118" s="18">
        <v>42683</v>
      </c>
      <c r="F118" s="18">
        <v>42653</v>
      </c>
      <c r="G118" s="19">
        <v>42561.599305555559</v>
      </c>
      <c r="I118" s="2" t="s">
        <v>13</v>
      </c>
      <c r="J118" s="1" t="str">
        <f t="shared" si="4"/>
        <v>Current</v>
      </c>
      <c r="K118" s="3">
        <v>40</v>
      </c>
      <c r="L118" s="2" t="s">
        <v>743</v>
      </c>
      <c r="M118" t="str">
        <f t="shared" si="5"/>
        <v>Mature</v>
      </c>
      <c r="N118" s="2" t="s">
        <v>739</v>
      </c>
      <c r="O118" s="1" t="str">
        <f t="shared" si="6"/>
        <v>College</v>
      </c>
      <c r="P118" s="2" t="s">
        <v>735</v>
      </c>
      <c r="Q118" t="str">
        <f t="shared" si="7"/>
        <v>Male</v>
      </c>
    </row>
    <row r="119" spans="1:17" x14ac:dyDescent="0.25">
      <c r="A119" s="1" t="s">
        <v>186</v>
      </c>
      <c r="B119" s="2" t="s">
        <v>11</v>
      </c>
      <c r="C119" s="3">
        <v>1000</v>
      </c>
      <c r="D119" s="3">
        <v>30</v>
      </c>
      <c r="E119" s="18">
        <v>42683</v>
      </c>
      <c r="F119" s="18">
        <v>42653</v>
      </c>
      <c r="G119" s="19">
        <v>42531.642361111109</v>
      </c>
      <c r="I119" s="2" t="s">
        <v>13</v>
      </c>
      <c r="J119" s="1" t="str">
        <f t="shared" si="4"/>
        <v>Current</v>
      </c>
      <c r="K119" s="3">
        <v>23</v>
      </c>
      <c r="L119" s="2" t="s">
        <v>746</v>
      </c>
      <c r="M119" t="str">
        <f t="shared" si="5"/>
        <v xml:space="preserve"> Young Adults</v>
      </c>
      <c r="N119" s="2" t="s">
        <v>737</v>
      </c>
      <c r="O119" s="1" t="str">
        <f t="shared" si="6"/>
        <v>High School Or Below</v>
      </c>
      <c r="P119" s="2" t="s">
        <v>735</v>
      </c>
      <c r="Q119" t="str">
        <f t="shared" si="7"/>
        <v>Male</v>
      </c>
    </row>
    <row r="120" spans="1:17" x14ac:dyDescent="0.25">
      <c r="A120" s="1" t="s">
        <v>187</v>
      </c>
      <c r="B120" s="2" t="s">
        <v>11</v>
      </c>
      <c r="C120" s="3">
        <v>1000</v>
      </c>
      <c r="D120" s="3">
        <v>30</v>
      </c>
      <c r="E120" s="18">
        <v>42683</v>
      </c>
      <c r="F120" s="18">
        <v>42653</v>
      </c>
      <c r="G120" s="19">
        <v>42592.288888888892</v>
      </c>
      <c r="I120" s="2" t="s">
        <v>13</v>
      </c>
      <c r="J120" s="1" t="str">
        <f t="shared" si="4"/>
        <v>Current</v>
      </c>
      <c r="K120" s="3">
        <v>35</v>
      </c>
      <c r="L120" s="2" t="s">
        <v>743</v>
      </c>
      <c r="M120" t="str">
        <f t="shared" si="5"/>
        <v>Mature</v>
      </c>
      <c r="N120" s="2" t="s">
        <v>738</v>
      </c>
      <c r="O120" s="1" t="str">
        <f t="shared" si="6"/>
        <v>Bachelor</v>
      </c>
      <c r="P120" s="2" t="s">
        <v>735</v>
      </c>
      <c r="Q120" t="str">
        <f t="shared" si="7"/>
        <v>Male</v>
      </c>
    </row>
    <row r="121" spans="1:17" x14ac:dyDescent="0.25">
      <c r="A121" s="1" t="s">
        <v>188</v>
      </c>
      <c r="B121" s="2" t="s">
        <v>11</v>
      </c>
      <c r="C121" s="3">
        <v>800</v>
      </c>
      <c r="D121" s="3">
        <v>15</v>
      </c>
      <c r="E121" s="18">
        <v>42683</v>
      </c>
      <c r="F121" s="18" t="s">
        <v>63</v>
      </c>
      <c r="G121" s="19" t="s">
        <v>189</v>
      </c>
      <c r="I121" s="2" t="s">
        <v>13</v>
      </c>
      <c r="J121" s="1" t="str">
        <f t="shared" si="4"/>
        <v>Current</v>
      </c>
      <c r="K121" s="3">
        <v>24</v>
      </c>
      <c r="L121" s="2" t="s">
        <v>746</v>
      </c>
      <c r="M121" t="str">
        <f t="shared" si="5"/>
        <v xml:space="preserve"> Young Adults</v>
      </c>
      <c r="N121" s="2" t="s">
        <v>739</v>
      </c>
      <c r="O121" s="1" t="str">
        <f t="shared" si="6"/>
        <v>College</v>
      </c>
      <c r="P121" s="2" t="s">
        <v>735</v>
      </c>
      <c r="Q121" t="str">
        <f t="shared" si="7"/>
        <v>Male</v>
      </c>
    </row>
    <row r="122" spans="1:17" x14ac:dyDescent="0.25">
      <c r="A122" s="1" t="s">
        <v>190</v>
      </c>
      <c r="B122" s="2" t="s">
        <v>11</v>
      </c>
      <c r="C122" s="3">
        <v>1000</v>
      </c>
      <c r="D122" s="3">
        <v>30</v>
      </c>
      <c r="E122" s="18">
        <v>42683</v>
      </c>
      <c r="F122" s="18">
        <v>42653</v>
      </c>
      <c r="G122" s="19">
        <v>42653.667361111111</v>
      </c>
      <c r="I122" s="2" t="s">
        <v>13</v>
      </c>
      <c r="J122" s="1" t="str">
        <f t="shared" si="4"/>
        <v>Current</v>
      </c>
      <c r="K122" s="3">
        <v>34</v>
      </c>
      <c r="L122" s="2" t="s">
        <v>743</v>
      </c>
      <c r="M122" t="str">
        <f t="shared" si="5"/>
        <v>Mature</v>
      </c>
      <c r="N122" s="2" t="s">
        <v>739</v>
      </c>
      <c r="O122" s="1" t="str">
        <f t="shared" si="6"/>
        <v>College</v>
      </c>
      <c r="P122" s="2" t="s">
        <v>735</v>
      </c>
      <c r="Q122" t="str">
        <f t="shared" si="7"/>
        <v>Male</v>
      </c>
    </row>
    <row r="123" spans="1:17" x14ac:dyDescent="0.25">
      <c r="A123" s="1" t="s">
        <v>191</v>
      </c>
      <c r="B123" s="2" t="s">
        <v>11</v>
      </c>
      <c r="C123" s="3">
        <v>1000</v>
      </c>
      <c r="D123" s="3">
        <v>30</v>
      </c>
      <c r="E123" s="18">
        <v>42683</v>
      </c>
      <c r="F123" s="18">
        <v>42653</v>
      </c>
      <c r="G123" s="19" t="s">
        <v>192</v>
      </c>
      <c r="I123" s="2" t="s">
        <v>13</v>
      </c>
      <c r="J123" s="1" t="str">
        <f t="shared" si="4"/>
        <v>Current</v>
      </c>
      <c r="K123" s="3">
        <v>22</v>
      </c>
      <c r="L123" s="2" t="s">
        <v>746</v>
      </c>
      <c r="M123" t="str">
        <f t="shared" si="5"/>
        <v xml:space="preserve"> Young Adults</v>
      </c>
      <c r="N123" s="2" t="s">
        <v>737</v>
      </c>
      <c r="O123" s="1" t="str">
        <f t="shared" si="6"/>
        <v>High School Or Below</v>
      </c>
      <c r="P123" s="2" t="s">
        <v>735</v>
      </c>
      <c r="Q123" t="str">
        <f t="shared" si="7"/>
        <v>Male</v>
      </c>
    </row>
    <row r="124" spans="1:17" x14ac:dyDescent="0.25">
      <c r="A124" s="1" t="s">
        <v>193</v>
      </c>
      <c r="B124" s="2" t="s">
        <v>11</v>
      </c>
      <c r="C124" s="3">
        <v>1000</v>
      </c>
      <c r="D124" s="3">
        <v>15</v>
      </c>
      <c r="E124" s="18">
        <v>42683</v>
      </c>
      <c r="F124" s="18" t="s">
        <v>194</v>
      </c>
      <c r="G124" s="19" t="s">
        <v>195</v>
      </c>
      <c r="I124" s="2" t="s">
        <v>13</v>
      </c>
      <c r="J124" s="1" t="str">
        <f t="shared" si="4"/>
        <v>Current</v>
      </c>
      <c r="K124" s="3">
        <v>20</v>
      </c>
      <c r="L124" s="2" t="s">
        <v>746</v>
      </c>
      <c r="M124" t="str">
        <f t="shared" si="5"/>
        <v xml:space="preserve"> Young Adults</v>
      </c>
      <c r="N124" s="2" t="s">
        <v>739</v>
      </c>
      <c r="O124" s="1" t="str">
        <f t="shared" si="6"/>
        <v>College</v>
      </c>
      <c r="P124" s="2" t="s">
        <v>735</v>
      </c>
      <c r="Q124" t="str">
        <f t="shared" si="7"/>
        <v>Male</v>
      </c>
    </row>
    <row r="125" spans="1:17" x14ac:dyDescent="0.25">
      <c r="A125" s="1" t="s">
        <v>196</v>
      </c>
      <c r="B125" s="2" t="s">
        <v>11</v>
      </c>
      <c r="C125" s="3">
        <v>1000</v>
      </c>
      <c r="D125" s="3">
        <v>15</v>
      </c>
      <c r="E125" s="18">
        <v>42683</v>
      </c>
      <c r="F125" s="18" t="s">
        <v>63</v>
      </c>
      <c r="G125" s="19" t="s">
        <v>197</v>
      </c>
      <c r="I125" s="2" t="s">
        <v>13</v>
      </c>
      <c r="J125" s="1" t="str">
        <f t="shared" si="4"/>
        <v>Current</v>
      </c>
      <c r="K125" s="3">
        <v>23</v>
      </c>
      <c r="L125" s="2" t="s">
        <v>746</v>
      </c>
      <c r="M125" t="str">
        <f t="shared" si="5"/>
        <v xml:space="preserve"> Young Adults</v>
      </c>
      <c r="N125" s="2" t="s">
        <v>739</v>
      </c>
      <c r="O125" s="1" t="str">
        <f t="shared" si="6"/>
        <v>College</v>
      </c>
      <c r="P125" s="2" t="s">
        <v>735</v>
      </c>
      <c r="Q125" t="str">
        <f t="shared" si="7"/>
        <v>Male</v>
      </c>
    </row>
    <row r="126" spans="1:17" x14ac:dyDescent="0.25">
      <c r="A126" s="1" t="s">
        <v>198</v>
      </c>
      <c r="B126" s="2" t="s">
        <v>11</v>
      </c>
      <c r="C126" s="3">
        <v>1000</v>
      </c>
      <c r="D126" s="3">
        <v>30</v>
      </c>
      <c r="E126" s="18">
        <v>42683</v>
      </c>
      <c r="F126" s="18">
        <v>42653</v>
      </c>
      <c r="G126" s="19" t="s">
        <v>199</v>
      </c>
      <c r="I126" s="2" t="s">
        <v>13</v>
      </c>
      <c r="J126" s="1" t="str">
        <f t="shared" si="4"/>
        <v>Current</v>
      </c>
      <c r="K126" s="3">
        <v>33</v>
      </c>
      <c r="L126" s="2" t="s">
        <v>745</v>
      </c>
      <c r="M126" t="str">
        <f t="shared" si="5"/>
        <v>Middle Aged</v>
      </c>
      <c r="N126" s="2" t="s">
        <v>739</v>
      </c>
      <c r="O126" s="1" t="str">
        <f t="shared" si="6"/>
        <v>College</v>
      </c>
      <c r="P126" s="2" t="s">
        <v>735</v>
      </c>
      <c r="Q126" t="str">
        <f t="shared" si="7"/>
        <v>Male</v>
      </c>
    </row>
    <row r="127" spans="1:17" x14ac:dyDescent="0.25">
      <c r="A127" s="1" t="s">
        <v>200</v>
      </c>
      <c r="B127" s="2" t="s">
        <v>11</v>
      </c>
      <c r="C127" s="3">
        <v>1000</v>
      </c>
      <c r="D127" s="3">
        <v>30</v>
      </c>
      <c r="E127" s="18">
        <v>42683</v>
      </c>
      <c r="F127" s="18">
        <v>42653</v>
      </c>
      <c r="G127" s="19">
        <v>42653.542361111111</v>
      </c>
      <c r="I127" s="2" t="s">
        <v>13</v>
      </c>
      <c r="J127" s="1" t="str">
        <f t="shared" si="4"/>
        <v>Current</v>
      </c>
      <c r="K127" s="3">
        <v>26</v>
      </c>
      <c r="L127" s="2" t="s">
        <v>745</v>
      </c>
      <c r="M127" t="str">
        <f t="shared" si="5"/>
        <v>Middle Aged</v>
      </c>
      <c r="N127" s="2" t="s">
        <v>739</v>
      </c>
      <c r="O127" s="1" t="str">
        <f t="shared" si="6"/>
        <v>College</v>
      </c>
      <c r="P127" s="2" t="s">
        <v>735</v>
      </c>
      <c r="Q127" t="str">
        <f t="shared" si="7"/>
        <v>Male</v>
      </c>
    </row>
    <row r="128" spans="1:17" x14ac:dyDescent="0.25">
      <c r="A128" s="1" t="s">
        <v>201</v>
      </c>
      <c r="B128" s="2" t="s">
        <v>11</v>
      </c>
      <c r="C128" s="3">
        <v>1000</v>
      </c>
      <c r="D128" s="3">
        <v>15</v>
      </c>
      <c r="E128" s="18">
        <v>42683</v>
      </c>
      <c r="F128" s="18" t="s">
        <v>63</v>
      </c>
      <c r="G128" s="19" t="s">
        <v>71</v>
      </c>
      <c r="I128" s="2" t="s">
        <v>13</v>
      </c>
      <c r="J128" s="1" t="str">
        <f t="shared" si="4"/>
        <v>Current</v>
      </c>
      <c r="K128" s="3">
        <v>28</v>
      </c>
      <c r="L128" s="2" t="s">
        <v>745</v>
      </c>
      <c r="M128" t="str">
        <f t="shared" si="5"/>
        <v>Middle Aged</v>
      </c>
      <c r="N128" s="2" t="s">
        <v>737</v>
      </c>
      <c r="O128" s="1" t="str">
        <f t="shared" si="6"/>
        <v>High School Or Below</v>
      </c>
      <c r="P128" s="2" t="s">
        <v>735</v>
      </c>
      <c r="Q128" t="str">
        <f t="shared" si="7"/>
        <v>Male</v>
      </c>
    </row>
    <row r="129" spans="1:17" x14ac:dyDescent="0.25">
      <c r="A129" s="1" t="s">
        <v>202</v>
      </c>
      <c r="B129" s="2" t="s">
        <v>11</v>
      </c>
      <c r="C129" s="3">
        <v>800</v>
      </c>
      <c r="D129" s="3">
        <v>15</v>
      </c>
      <c r="E129" s="18">
        <v>42683</v>
      </c>
      <c r="F129" s="18" t="s">
        <v>63</v>
      </c>
      <c r="G129" s="19" t="s">
        <v>203</v>
      </c>
      <c r="I129" s="2" t="s">
        <v>13</v>
      </c>
      <c r="J129" s="1" t="str">
        <f t="shared" si="4"/>
        <v>Current</v>
      </c>
      <c r="K129" s="3">
        <v>43</v>
      </c>
      <c r="L129" s="2" t="s">
        <v>743</v>
      </c>
      <c r="M129" t="str">
        <f t="shared" si="5"/>
        <v>Mature</v>
      </c>
      <c r="N129" s="2" t="s">
        <v>737</v>
      </c>
      <c r="O129" s="1" t="str">
        <f t="shared" si="6"/>
        <v>High School Or Below</v>
      </c>
      <c r="P129" s="2" t="s">
        <v>735</v>
      </c>
      <c r="Q129" t="str">
        <f t="shared" si="7"/>
        <v>Male</v>
      </c>
    </row>
    <row r="130" spans="1:17" x14ac:dyDescent="0.25">
      <c r="A130" s="1" t="s">
        <v>204</v>
      </c>
      <c r="B130" s="2" t="s">
        <v>11</v>
      </c>
      <c r="C130" s="3">
        <v>1000</v>
      </c>
      <c r="D130" s="3">
        <v>15</v>
      </c>
      <c r="E130" s="18">
        <v>42683</v>
      </c>
      <c r="F130" s="18" t="s">
        <v>63</v>
      </c>
      <c r="G130" s="19" t="s">
        <v>74</v>
      </c>
      <c r="I130" s="2" t="s">
        <v>13</v>
      </c>
      <c r="J130" s="1" t="str">
        <f t="shared" si="4"/>
        <v>Current</v>
      </c>
      <c r="K130" s="3">
        <v>34</v>
      </c>
      <c r="L130" s="2" t="s">
        <v>743</v>
      </c>
      <c r="M130" t="str">
        <f t="shared" si="5"/>
        <v>Mature</v>
      </c>
      <c r="N130" s="2" t="s">
        <v>738</v>
      </c>
      <c r="O130" s="1" t="str">
        <f t="shared" si="6"/>
        <v>Bachelor</v>
      </c>
      <c r="P130" s="2" t="s">
        <v>735</v>
      </c>
      <c r="Q130" t="str">
        <f t="shared" si="7"/>
        <v>Male</v>
      </c>
    </row>
    <row r="131" spans="1:17" x14ac:dyDescent="0.25">
      <c r="A131" s="1" t="s">
        <v>205</v>
      </c>
      <c r="B131" s="2" t="s">
        <v>11</v>
      </c>
      <c r="C131" s="3">
        <v>1000</v>
      </c>
      <c r="D131" s="3">
        <v>30</v>
      </c>
      <c r="E131" s="18">
        <v>42683</v>
      </c>
      <c r="F131" s="18">
        <v>42653</v>
      </c>
      <c r="G131" s="19" t="s">
        <v>206</v>
      </c>
      <c r="I131" s="2" t="s">
        <v>13</v>
      </c>
      <c r="J131" s="1" t="str">
        <f t="shared" ref="J131:J194" si="8">IF(H131 = " ", "Current", IF(H131 = 0, "Current", IF(H131 &lt;= 39, "1 - 39 Days", IF(H131 &lt;= 80, "40 - 80 Days"))))</f>
        <v>Current</v>
      </c>
      <c r="K131" s="3">
        <v>38</v>
      </c>
      <c r="L131" s="2" t="s">
        <v>743</v>
      </c>
      <c r="M131" t="str">
        <f t="shared" ref="M131:M194" si="9">IF(K131 &lt;= 25, " Young Adults", IF(K131 &lt;= 33, "Middle Aged", IF(K131 &lt;= 49, "Mature", IF(K131 &lt;= 100, "Old"))))</f>
        <v>Mature</v>
      </c>
      <c r="N131" s="2" t="s">
        <v>738</v>
      </c>
      <c r="O131" s="1" t="str">
        <f t="shared" ref="O131:O194" si="10">PROPER(N131)</f>
        <v>Bachelor</v>
      </c>
      <c r="P131" s="2" t="s">
        <v>735</v>
      </c>
      <c r="Q131" t="str">
        <f t="shared" ref="Q131:Q194" si="11">PROPER(P131)</f>
        <v>Male</v>
      </c>
    </row>
    <row r="132" spans="1:17" x14ac:dyDescent="0.25">
      <c r="A132" s="1" t="s">
        <v>207</v>
      </c>
      <c r="B132" s="2" t="s">
        <v>11</v>
      </c>
      <c r="C132" s="3">
        <v>1000</v>
      </c>
      <c r="D132" s="3">
        <v>15</v>
      </c>
      <c r="E132" s="18">
        <v>42683</v>
      </c>
      <c r="F132" s="18" t="s">
        <v>63</v>
      </c>
      <c r="G132" s="19" t="s">
        <v>208</v>
      </c>
      <c r="I132" s="2" t="s">
        <v>13</v>
      </c>
      <c r="J132" s="1" t="str">
        <f t="shared" si="8"/>
        <v>Current</v>
      </c>
      <c r="K132" s="3">
        <v>26</v>
      </c>
      <c r="L132" s="2" t="s">
        <v>745</v>
      </c>
      <c r="M132" t="str">
        <f t="shared" si="9"/>
        <v>Middle Aged</v>
      </c>
      <c r="N132" s="2" t="s">
        <v>737</v>
      </c>
      <c r="O132" s="1" t="str">
        <f t="shared" si="10"/>
        <v>High School Or Below</v>
      </c>
      <c r="P132" s="2" t="s">
        <v>735</v>
      </c>
      <c r="Q132" t="str">
        <f t="shared" si="11"/>
        <v>Male</v>
      </c>
    </row>
    <row r="133" spans="1:17" x14ac:dyDescent="0.25">
      <c r="A133" s="1" t="s">
        <v>209</v>
      </c>
      <c r="B133" s="2" t="s">
        <v>11</v>
      </c>
      <c r="C133" s="3">
        <v>800</v>
      </c>
      <c r="D133" s="3">
        <v>15</v>
      </c>
      <c r="E133" s="18">
        <v>42683</v>
      </c>
      <c r="F133" s="18" t="s">
        <v>63</v>
      </c>
      <c r="G133" s="19" t="s">
        <v>100</v>
      </c>
      <c r="I133" s="2" t="s">
        <v>13</v>
      </c>
      <c r="J133" s="1" t="str">
        <f t="shared" si="8"/>
        <v>Current</v>
      </c>
      <c r="K133" s="3">
        <v>43</v>
      </c>
      <c r="L133" s="2" t="s">
        <v>743</v>
      </c>
      <c r="M133" t="str">
        <f t="shared" si="9"/>
        <v>Mature</v>
      </c>
      <c r="N133" s="2" t="s">
        <v>737</v>
      </c>
      <c r="O133" s="1" t="str">
        <f t="shared" si="10"/>
        <v>High School Or Below</v>
      </c>
      <c r="P133" s="2" t="s">
        <v>735</v>
      </c>
      <c r="Q133" t="str">
        <f t="shared" si="11"/>
        <v>Male</v>
      </c>
    </row>
    <row r="134" spans="1:17" x14ac:dyDescent="0.25">
      <c r="A134" s="1" t="s">
        <v>210</v>
      </c>
      <c r="B134" s="2" t="s">
        <v>11</v>
      </c>
      <c r="C134" s="3">
        <v>1000</v>
      </c>
      <c r="D134" s="3">
        <v>30</v>
      </c>
      <c r="E134" s="18">
        <v>42683</v>
      </c>
      <c r="F134" s="18">
        <v>42653</v>
      </c>
      <c r="G134" s="19">
        <v>42653.675694444442</v>
      </c>
      <c r="I134" s="2" t="s">
        <v>13</v>
      </c>
      <c r="J134" s="1" t="str">
        <f t="shared" si="8"/>
        <v>Current</v>
      </c>
      <c r="K134" s="3">
        <v>26</v>
      </c>
      <c r="L134" s="2" t="s">
        <v>745</v>
      </c>
      <c r="M134" t="str">
        <f t="shared" si="9"/>
        <v>Middle Aged</v>
      </c>
      <c r="N134" s="2" t="s">
        <v>737</v>
      </c>
      <c r="O134" s="1" t="str">
        <f t="shared" si="10"/>
        <v>High School Or Below</v>
      </c>
      <c r="P134" s="2" t="s">
        <v>735</v>
      </c>
      <c r="Q134" t="str">
        <f t="shared" si="11"/>
        <v>Male</v>
      </c>
    </row>
    <row r="135" spans="1:17" x14ac:dyDescent="0.25">
      <c r="A135" s="1" t="s">
        <v>211</v>
      </c>
      <c r="B135" s="2" t="s">
        <v>11</v>
      </c>
      <c r="C135" s="3">
        <v>1000</v>
      </c>
      <c r="D135" s="3">
        <v>30</v>
      </c>
      <c r="E135" s="18">
        <v>42683</v>
      </c>
      <c r="F135" s="18">
        <v>42653</v>
      </c>
      <c r="G135" s="19" t="s">
        <v>212</v>
      </c>
      <c r="I135" s="2" t="s">
        <v>13</v>
      </c>
      <c r="J135" s="1" t="str">
        <f t="shared" si="8"/>
        <v>Current</v>
      </c>
      <c r="K135" s="3">
        <v>33</v>
      </c>
      <c r="L135" s="2" t="s">
        <v>745</v>
      </c>
      <c r="M135" t="str">
        <f t="shared" si="9"/>
        <v>Middle Aged</v>
      </c>
      <c r="N135" s="2" t="s">
        <v>739</v>
      </c>
      <c r="O135" s="1" t="str">
        <f t="shared" si="10"/>
        <v>College</v>
      </c>
      <c r="P135" s="2" t="s">
        <v>736</v>
      </c>
      <c r="Q135" t="str">
        <f t="shared" si="11"/>
        <v>Female</v>
      </c>
    </row>
    <row r="136" spans="1:17" x14ac:dyDescent="0.25">
      <c r="A136" s="1" t="s">
        <v>213</v>
      </c>
      <c r="B136" s="2" t="s">
        <v>11</v>
      </c>
      <c r="C136" s="3">
        <v>800</v>
      </c>
      <c r="D136" s="3">
        <v>15</v>
      </c>
      <c r="E136" s="18">
        <v>42683</v>
      </c>
      <c r="F136" s="18" t="s">
        <v>63</v>
      </c>
      <c r="G136" s="19" t="s">
        <v>214</v>
      </c>
      <c r="I136" s="2" t="s">
        <v>13</v>
      </c>
      <c r="J136" s="1" t="str">
        <f t="shared" si="8"/>
        <v>Current</v>
      </c>
      <c r="K136" s="3">
        <v>24</v>
      </c>
      <c r="L136" s="2" t="s">
        <v>746</v>
      </c>
      <c r="M136" t="str">
        <f t="shared" si="9"/>
        <v xml:space="preserve"> Young Adults</v>
      </c>
      <c r="N136" s="2" t="s">
        <v>739</v>
      </c>
      <c r="O136" s="1" t="str">
        <f t="shared" si="10"/>
        <v>College</v>
      </c>
      <c r="P136" s="2" t="s">
        <v>735</v>
      </c>
      <c r="Q136" t="str">
        <f t="shared" si="11"/>
        <v>Male</v>
      </c>
    </row>
    <row r="137" spans="1:17" x14ac:dyDescent="0.25">
      <c r="A137" s="1" t="s">
        <v>215</v>
      </c>
      <c r="B137" s="2" t="s">
        <v>11</v>
      </c>
      <c r="C137" s="3">
        <v>1000</v>
      </c>
      <c r="D137" s="3">
        <v>30</v>
      </c>
      <c r="E137" s="18">
        <v>42683</v>
      </c>
      <c r="F137" s="18">
        <v>42653</v>
      </c>
      <c r="G137" s="19">
        <v>42713.43472222222</v>
      </c>
      <c r="I137" s="2" t="s">
        <v>13</v>
      </c>
      <c r="J137" s="1" t="str">
        <f t="shared" si="8"/>
        <v>Current</v>
      </c>
      <c r="K137" s="3">
        <v>30</v>
      </c>
      <c r="L137" s="2" t="s">
        <v>745</v>
      </c>
      <c r="M137" t="str">
        <f t="shared" si="9"/>
        <v>Middle Aged</v>
      </c>
      <c r="N137" s="2" t="s">
        <v>737</v>
      </c>
      <c r="O137" s="1" t="str">
        <f t="shared" si="10"/>
        <v>High School Or Below</v>
      </c>
      <c r="P137" s="2" t="s">
        <v>735</v>
      </c>
      <c r="Q137" t="str">
        <f t="shared" si="11"/>
        <v>Male</v>
      </c>
    </row>
    <row r="138" spans="1:17" x14ac:dyDescent="0.25">
      <c r="A138" s="1" t="s">
        <v>216</v>
      </c>
      <c r="B138" s="2" t="s">
        <v>11</v>
      </c>
      <c r="C138" s="3">
        <v>800</v>
      </c>
      <c r="D138" s="3">
        <v>15</v>
      </c>
      <c r="E138" s="18">
        <v>42683</v>
      </c>
      <c r="F138" s="18" t="s">
        <v>63</v>
      </c>
      <c r="G138" s="19" t="s">
        <v>74</v>
      </c>
      <c r="I138" s="2" t="s">
        <v>13</v>
      </c>
      <c r="J138" s="1" t="str">
        <f t="shared" si="8"/>
        <v>Current</v>
      </c>
      <c r="K138" s="3">
        <v>32</v>
      </c>
      <c r="L138" s="2" t="s">
        <v>745</v>
      </c>
      <c r="M138" t="str">
        <f t="shared" si="9"/>
        <v>Middle Aged</v>
      </c>
      <c r="N138" s="2" t="s">
        <v>737</v>
      </c>
      <c r="O138" s="1" t="str">
        <f t="shared" si="10"/>
        <v>High School Or Below</v>
      </c>
      <c r="P138" s="2" t="s">
        <v>736</v>
      </c>
      <c r="Q138" t="str">
        <f t="shared" si="11"/>
        <v>Female</v>
      </c>
    </row>
    <row r="139" spans="1:17" x14ac:dyDescent="0.25">
      <c r="A139" s="1" t="s">
        <v>217</v>
      </c>
      <c r="B139" s="2" t="s">
        <v>11</v>
      </c>
      <c r="C139" s="3">
        <v>1000</v>
      </c>
      <c r="D139" s="3">
        <v>15</v>
      </c>
      <c r="E139" s="18">
        <v>42683</v>
      </c>
      <c r="F139" s="18" t="s">
        <v>194</v>
      </c>
      <c r="G139" s="19" t="s">
        <v>195</v>
      </c>
      <c r="I139" s="2" t="s">
        <v>13</v>
      </c>
      <c r="J139" s="1" t="str">
        <f t="shared" si="8"/>
        <v>Current</v>
      </c>
      <c r="K139" s="3">
        <v>22</v>
      </c>
      <c r="L139" s="2" t="s">
        <v>746</v>
      </c>
      <c r="M139" t="str">
        <f t="shared" si="9"/>
        <v xml:space="preserve"> Young Adults</v>
      </c>
      <c r="N139" s="2" t="s">
        <v>739</v>
      </c>
      <c r="O139" s="1" t="str">
        <f t="shared" si="10"/>
        <v>College</v>
      </c>
      <c r="P139" s="2" t="s">
        <v>735</v>
      </c>
      <c r="Q139" t="str">
        <f t="shared" si="11"/>
        <v>Male</v>
      </c>
    </row>
    <row r="140" spans="1:17" x14ac:dyDescent="0.25">
      <c r="A140" s="1" t="s">
        <v>218</v>
      </c>
      <c r="B140" s="2" t="s">
        <v>11</v>
      </c>
      <c r="C140" s="3">
        <v>1000</v>
      </c>
      <c r="D140" s="3">
        <v>15</v>
      </c>
      <c r="E140" s="18">
        <v>42683</v>
      </c>
      <c r="F140" s="18" t="s">
        <v>63</v>
      </c>
      <c r="G140" s="19" t="s">
        <v>219</v>
      </c>
      <c r="I140" s="2" t="s">
        <v>13</v>
      </c>
      <c r="J140" s="1" t="str">
        <f t="shared" si="8"/>
        <v>Current</v>
      </c>
      <c r="K140" s="3">
        <v>47</v>
      </c>
      <c r="L140" s="2" t="s">
        <v>743</v>
      </c>
      <c r="M140" t="str">
        <f t="shared" si="9"/>
        <v>Mature</v>
      </c>
      <c r="N140" s="2" t="s">
        <v>737</v>
      </c>
      <c r="O140" s="1" t="str">
        <f t="shared" si="10"/>
        <v>High School Or Below</v>
      </c>
      <c r="P140" s="2" t="s">
        <v>735</v>
      </c>
      <c r="Q140" t="str">
        <f t="shared" si="11"/>
        <v>Male</v>
      </c>
    </row>
    <row r="141" spans="1:17" x14ac:dyDescent="0.25">
      <c r="A141" s="1" t="s">
        <v>220</v>
      </c>
      <c r="B141" s="2" t="s">
        <v>11</v>
      </c>
      <c r="C141" s="3">
        <v>1000</v>
      </c>
      <c r="D141" s="3">
        <v>30</v>
      </c>
      <c r="E141" s="18">
        <v>42683</v>
      </c>
      <c r="F141" s="18">
        <v>42653</v>
      </c>
      <c r="G141" s="19">
        <v>42623.852777777778</v>
      </c>
      <c r="I141" s="2" t="s">
        <v>13</v>
      </c>
      <c r="J141" s="1" t="str">
        <f t="shared" si="8"/>
        <v>Current</v>
      </c>
      <c r="K141" s="3">
        <v>20</v>
      </c>
      <c r="L141" s="2" t="s">
        <v>746</v>
      </c>
      <c r="M141" t="str">
        <f t="shared" si="9"/>
        <v xml:space="preserve"> Young Adults</v>
      </c>
      <c r="N141" s="2" t="s">
        <v>737</v>
      </c>
      <c r="O141" s="1" t="str">
        <f t="shared" si="10"/>
        <v>High School Or Below</v>
      </c>
      <c r="P141" s="2" t="s">
        <v>735</v>
      </c>
      <c r="Q141" t="str">
        <f t="shared" si="11"/>
        <v>Male</v>
      </c>
    </row>
    <row r="142" spans="1:17" x14ac:dyDescent="0.25">
      <c r="A142" s="1" t="s">
        <v>221</v>
      </c>
      <c r="B142" s="2" t="s">
        <v>11</v>
      </c>
      <c r="C142" s="3">
        <v>1000</v>
      </c>
      <c r="D142" s="3">
        <v>30</v>
      </c>
      <c r="E142" s="18">
        <v>42683</v>
      </c>
      <c r="F142" s="18">
        <v>42653</v>
      </c>
      <c r="G142" s="19">
        <v>42379.7</v>
      </c>
      <c r="I142" s="2" t="s">
        <v>13</v>
      </c>
      <c r="J142" s="1" t="str">
        <f t="shared" si="8"/>
        <v>Current</v>
      </c>
      <c r="K142" s="3">
        <v>28</v>
      </c>
      <c r="L142" s="2" t="s">
        <v>745</v>
      </c>
      <c r="M142" t="str">
        <f t="shared" si="9"/>
        <v>Middle Aged</v>
      </c>
      <c r="N142" s="2" t="s">
        <v>737</v>
      </c>
      <c r="O142" s="1" t="str">
        <f t="shared" si="10"/>
        <v>High School Or Below</v>
      </c>
      <c r="P142" s="2" t="s">
        <v>735</v>
      </c>
      <c r="Q142" t="str">
        <f t="shared" si="11"/>
        <v>Male</v>
      </c>
    </row>
    <row r="143" spans="1:17" x14ac:dyDescent="0.25">
      <c r="A143" s="1" t="s">
        <v>222</v>
      </c>
      <c r="B143" s="2" t="s">
        <v>11</v>
      </c>
      <c r="C143" s="3">
        <v>800</v>
      </c>
      <c r="D143" s="3">
        <v>15</v>
      </c>
      <c r="E143" s="18">
        <v>42683</v>
      </c>
      <c r="F143" s="18" t="s">
        <v>63</v>
      </c>
      <c r="G143" s="19" t="s">
        <v>223</v>
      </c>
      <c r="I143" s="2" t="s">
        <v>13</v>
      </c>
      <c r="J143" s="1" t="str">
        <f t="shared" si="8"/>
        <v>Current</v>
      </c>
      <c r="K143" s="3">
        <v>35</v>
      </c>
      <c r="L143" s="2" t="s">
        <v>743</v>
      </c>
      <c r="M143" t="str">
        <f t="shared" si="9"/>
        <v>Mature</v>
      </c>
      <c r="N143" s="2" t="s">
        <v>739</v>
      </c>
      <c r="O143" s="1" t="str">
        <f t="shared" si="10"/>
        <v>College</v>
      </c>
      <c r="P143" s="2" t="s">
        <v>735</v>
      </c>
      <c r="Q143" t="str">
        <f t="shared" si="11"/>
        <v>Male</v>
      </c>
    </row>
    <row r="144" spans="1:17" x14ac:dyDescent="0.25">
      <c r="A144" s="1" t="s">
        <v>224</v>
      </c>
      <c r="B144" s="2" t="s">
        <v>11</v>
      </c>
      <c r="C144" s="3">
        <v>1000</v>
      </c>
      <c r="D144" s="3">
        <v>7</v>
      </c>
      <c r="E144" s="18">
        <v>42683</v>
      </c>
      <c r="F144" s="18" t="s">
        <v>87</v>
      </c>
      <c r="G144" s="19" t="s">
        <v>225</v>
      </c>
      <c r="I144" s="2" t="s">
        <v>13</v>
      </c>
      <c r="J144" s="1" t="str">
        <f t="shared" si="8"/>
        <v>Current</v>
      </c>
      <c r="K144" s="3">
        <v>27</v>
      </c>
      <c r="L144" s="2" t="s">
        <v>745</v>
      </c>
      <c r="M144" t="str">
        <f t="shared" si="9"/>
        <v>Middle Aged</v>
      </c>
      <c r="N144" s="2" t="s">
        <v>737</v>
      </c>
      <c r="O144" s="1" t="str">
        <f t="shared" si="10"/>
        <v>High School Or Below</v>
      </c>
      <c r="P144" s="2" t="s">
        <v>735</v>
      </c>
      <c r="Q144" t="str">
        <f t="shared" si="11"/>
        <v>Male</v>
      </c>
    </row>
    <row r="145" spans="1:17" x14ac:dyDescent="0.25">
      <c r="A145" s="1" t="s">
        <v>226</v>
      </c>
      <c r="B145" s="2" t="s">
        <v>11</v>
      </c>
      <c r="C145" s="3">
        <v>800</v>
      </c>
      <c r="D145" s="3">
        <v>15</v>
      </c>
      <c r="E145" s="18">
        <v>42683</v>
      </c>
      <c r="F145" s="18" t="s">
        <v>63</v>
      </c>
      <c r="G145" s="19" t="s">
        <v>227</v>
      </c>
      <c r="I145" s="2" t="s">
        <v>13</v>
      </c>
      <c r="J145" s="1" t="str">
        <f t="shared" si="8"/>
        <v>Current</v>
      </c>
      <c r="K145" s="3">
        <v>33</v>
      </c>
      <c r="L145" s="2" t="s">
        <v>745</v>
      </c>
      <c r="M145" t="str">
        <f t="shared" si="9"/>
        <v>Middle Aged</v>
      </c>
      <c r="N145" s="2" t="s">
        <v>739</v>
      </c>
      <c r="O145" s="1" t="str">
        <f t="shared" si="10"/>
        <v>College</v>
      </c>
      <c r="P145" s="2" t="s">
        <v>736</v>
      </c>
      <c r="Q145" t="str">
        <f t="shared" si="11"/>
        <v>Female</v>
      </c>
    </row>
    <row r="146" spans="1:17" x14ac:dyDescent="0.25">
      <c r="A146" s="1" t="s">
        <v>228</v>
      </c>
      <c r="B146" s="2" t="s">
        <v>11</v>
      </c>
      <c r="C146" s="3">
        <v>1000</v>
      </c>
      <c r="D146" s="3">
        <v>30</v>
      </c>
      <c r="E146" s="18">
        <v>42683</v>
      </c>
      <c r="F146" s="18">
        <v>42653</v>
      </c>
      <c r="G146" s="19" t="s">
        <v>229</v>
      </c>
      <c r="I146" s="2" t="s">
        <v>13</v>
      </c>
      <c r="J146" s="1" t="str">
        <f t="shared" si="8"/>
        <v>Current</v>
      </c>
      <c r="K146" s="3">
        <v>30</v>
      </c>
      <c r="L146" s="2" t="s">
        <v>745</v>
      </c>
      <c r="M146" t="str">
        <f t="shared" si="9"/>
        <v>Middle Aged</v>
      </c>
      <c r="N146" s="2" t="s">
        <v>737</v>
      </c>
      <c r="O146" s="1" t="str">
        <f t="shared" si="10"/>
        <v>High School Or Below</v>
      </c>
      <c r="P146" s="2" t="s">
        <v>735</v>
      </c>
      <c r="Q146" t="str">
        <f t="shared" si="11"/>
        <v>Male</v>
      </c>
    </row>
    <row r="147" spans="1:17" x14ac:dyDescent="0.25">
      <c r="A147" s="1" t="s">
        <v>230</v>
      </c>
      <c r="B147" s="2" t="s">
        <v>11</v>
      </c>
      <c r="C147" s="3">
        <v>1000</v>
      </c>
      <c r="D147" s="3">
        <v>15</v>
      </c>
      <c r="E147" s="18">
        <v>42683</v>
      </c>
      <c r="F147" s="18" t="s">
        <v>63</v>
      </c>
      <c r="G147" s="19" t="s">
        <v>231</v>
      </c>
      <c r="I147" s="2" t="s">
        <v>13</v>
      </c>
      <c r="J147" s="1" t="str">
        <f t="shared" si="8"/>
        <v>Current</v>
      </c>
      <c r="K147" s="3">
        <v>31</v>
      </c>
      <c r="L147" s="2" t="s">
        <v>745</v>
      </c>
      <c r="M147" t="str">
        <f t="shared" si="9"/>
        <v>Middle Aged</v>
      </c>
      <c r="N147" s="2" t="s">
        <v>739</v>
      </c>
      <c r="O147" s="1" t="str">
        <f t="shared" si="10"/>
        <v>College</v>
      </c>
      <c r="P147" s="2" t="s">
        <v>735</v>
      </c>
      <c r="Q147" t="str">
        <f t="shared" si="11"/>
        <v>Male</v>
      </c>
    </row>
    <row r="148" spans="1:17" x14ac:dyDescent="0.25">
      <c r="A148" s="1" t="s">
        <v>232</v>
      </c>
      <c r="B148" s="2" t="s">
        <v>11</v>
      </c>
      <c r="C148" s="3">
        <v>1000</v>
      </c>
      <c r="D148" s="3">
        <v>30</v>
      </c>
      <c r="E148" s="18">
        <v>42683</v>
      </c>
      <c r="F148" s="18">
        <v>42624</v>
      </c>
      <c r="G148" s="19">
        <v>42624.958333333336</v>
      </c>
      <c r="I148" s="2" t="s">
        <v>13</v>
      </c>
      <c r="J148" s="1" t="str">
        <f t="shared" si="8"/>
        <v>Current</v>
      </c>
      <c r="K148" s="3">
        <v>26</v>
      </c>
      <c r="L148" s="2" t="s">
        <v>745</v>
      </c>
      <c r="M148" t="str">
        <f t="shared" si="9"/>
        <v>Middle Aged</v>
      </c>
      <c r="N148" s="2" t="s">
        <v>739</v>
      </c>
      <c r="O148" s="1" t="str">
        <f t="shared" si="10"/>
        <v>College</v>
      </c>
      <c r="P148" s="2" t="s">
        <v>736</v>
      </c>
      <c r="Q148" t="str">
        <f t="shared" si="11"/>
        <v>Female</v>
      </c>
    </row>
    <row r="149" spans="1:17" x14ac:dyDescent="0.25">
      <c r="A149" s="1" t="s">
        <v>233</v>
      </c>
      <c r="B149" s="2" t="s">
        <v>11</v>
      </c>
      <c r="C149" s="3">
        <v>300</v>
      </c>
      <c r="D149" s="3">
        <v>7</v>
      </c>
      <c r="E149" s="18">
        <v>42713</v>
      </c>
      <c r="F149" s="18" t="s">
        <v>234</v>
      </c>
      <c r="G149" s="19" t="s">
        <v>235</v>
      </c>
      <c r="I149" s="2" t="s">
        <v>13</v>
      </c>
      <c r="J149" s="1" t="str">
        <f t="shared" si="8"/>
        <v>Current</v>
      </c>
      <c r="K149" s="3">
        <v>37</v>
      </c>
      <c r="L149" s="2" t="s">
        <v>743</v>
      </c>
      <c r="M149" t="str">
        <f t="shared" si="9"/>
        <v>Mature</v>
      </c>
      <c r="N149" s="2" t="s">
        <v>740</v>
      </c>
      <c r="O149" s="1" t="str">
        <f t="shared" si="10"/>
        <v>Master Or Above</v>
      </c>
      <c r="P149" s="2" t="s">
        <v>735</v>
      </c>
      <c r="Q149" t="str">
        <f t="shared" si="11"/>
        <v>Male</v>
      </c>
    </row>
    <row r="150" spans="1:17" x14ac:dyDescent="0.25">
      <c r="A150" s="1" t="s">
        <v>236</v>
      </c>
      <c r="B150" s="2" t="s">
        <v>11</v>
      </c>
      <c r="C150" s="3">
        <v>1000</v>
      </c>
      <c r="D150" s="3">
        <v>15</v>
      </c>
      <c r="E150" s="18">
        <v>42713</v>
      </c>
      <c r="F150" s="18" t="s">
        <v>237</v>
      </c>
      <c r="G150" s="19" t="s">
        <v>238</v>
      </c>
      <c r="I150" s="2" t="s">
        <v>13</v>
      </c>
      <c r="J150" s="1" t="str">
        <f t="shared" si="8"/>
        <v>Current</v>
      </c>
      <c r="K150" s="3">
        <v>26</v>
      </c>
      <c r="L150" s="2" t="s">
        <v>745</v>
      </c>
      <c r="M150" t="str">
        <f t="shared" si="9"/>
        <v>Middle Aged</v>
      </c>
      <c r="N150" s="2" t="s">
        <v>738</v>
      </c>
      <c r="O150" s="1" t="str">
        <f t="shared" si="10"/>
        <v>Bachelor</v>
      </c>
      <c r="P150" s="2" t="s">
        <v>735</v>
      </c>
      <c r="Q150" t="str">
        <f t="shared" si="11"/>
        <v>Male</v>
      </c>
    </row>
    <row r="151" spans="1:17" x14ac:dyDescent="0.25">
      <c r="A151" s="1" t="s">
        <v>239</v>
      </c>
      <c r="B151" s="2" t="s">
        <v>11</v>
      </c>
      <c r="C151" s="3">
        <v>800</v>
      </c>
      <c r="D151" s="3">
        <v>15</v>
      </c>
      <c r="E151" s="18">
        <v>42713</v>
      </c>
      <c r="F151" s="18" t="s">
        <v>237</v>
      </c>
      <c r="G151" s="19" t="s">
        <v>240</v>
      </c>
      <c r="I151" s="2" t="s">
        <v>13</v>
      </c>
      <c r="J151" s="1" t="str">
        <f t="shared" si="8"/>
        <v>Current</v>
      </c>
      <c r="K151" s="3">
        <v>35</v>
      </c>
      <c r="L151" s="2" t="s">
        <v>743</v>
      </c>
      <c r="M151" t="str">
        <f t="shared" si="9"/>
        <v>Mature</v>
      </c>
      <c r="N151" s="2" t="s">
        <v>738</v>
      </c>
      <c r="O151" s="1" t="str">
        <f t="shared" si="10"/>
        <v>Bachelor</v>
      </c>
      <c r="P151" s="2" t="s">
        <v>735</v>
      </c>
      <c r="Q151" t="str">
        <f t="shared" si="11"/>
        <v>Male</v>
      </c>
    </row>
    <row r="152" spans="1:17" x14ac:dyDescent="0.25">
      <c r="A152" s="1" t="s">
        <v>241</v>
      </c>
      <c r="B152" s="2" t="s">
        <v>11</v>
      </c>
      <c r="C152" s="3">
        <v>1000</v>
      </c>
      <c r="D152" s="3">
        <v>15</v>
      </c>
      <c r="E152" s="18">
        <v>42713</v>
      </c>
      <c r="F152" s="18" t="s">
        <v>242</v>
      </c>
      <c r="G152" s="19" t="s">
        <v>243</v>
      </c>
      <c r="I152" s="2" t="s">
        <v>13</v>
      </c>
      <c r="J152" s="1" t="str">
        <f t="shared" si="8"/>
        <v>Current</v>
      </c>
      <c r="K152" s="3">
        <v>29</v>
      </c>
      <c r="L152" s="2" t="s">
        <v>745</v>
      </c>
      <c r="M152" t="str">
        <f t="shared" si="9"/>
        <v>Middle Aged</v>
      </c>
      <c r="N152" s="2" t="s">
        <v>739</v>
      </c>
      <c r="O152" s="1" t="str">
        <f t="shared" si="10"/>
        <v>College</v>
      </c>
      <c r="P152" s="2" t="s">
        <v>735</v>
      </c>
      <c r="Q152" t="str">
        <f t="shared" si="11"/>
        <v>Male</v>
      </c>
    </row>
    <row r="153" spans="1:17" x14ac:dyDescent="0.25">
      <c r="A153" s="1" t="s">
        <v>244</v>
      </c>
      <c r="B153" s="2" t="s">
        <v>11</v>
      </c>
      <c r="C153" s="3">
        <v>800</v>
      </c>
      <c r="D153" s="3">
        <v>15</v>
      </c>
      <c r="E153" s="18">
        <v>42713</v>
      </c>
      <c r="F153" s="18" t="s">
        <v>237</v>
      </c>
      <c r="G153" s="19" t="s">
        <v>245</v>
      </c>
      <c r="I153" s="2" t="s">
        <v>13</v>
      </c>
      <c r="J153" s="1" t="str">
        <f t="shared" si="8"/>
        <v>Current</v>
      </c>
      <c r="K153" s="3">
        <v>23</v>
      </c>
      <c r="L153" s="2" t="s">
        <v>746</v>
      </c>
      <c r="M153" t="str">
        <f t="shared" si="9"/>
        <v xml:space="preserve"> Young Adults</v>
      </c>
      <c r="N153" s="2" t="s">
        <v>739</v>
      </c>
      <c r="O153" s="1" t="str">
        <f t="shared" si="10"/>
        <v>College</v>
      </c>
      <c r="P153" s="2" t="s">
        <v>735</v>
      </c>
      <c r="Q153" t="str">
        <f t="shared" si="11"/>
        <v>Male</v>
      </c>
    </row>
    <row r="154" spans="1:17" x14ac:dyDescent="0.25">
      <c r="A154" s="1" t="s">
        <v>246</v>
      </c>
      <c r="B154" s="2" t="s">
        <v>11</v>
      </c>
      <c r="C154" s="3">
        <v>500</v>
      </c>
      <c r="D154" s="3">
        <v>15</v>
      </c>
      <c r="E154" s="18">
        <v>42713</v>
      </c>
      <c r="F154" s="18" t="s">
        <v>237</v>
      </c>
      <c r="G154" s="19" t="s">
        <v>247</v>
      </c>
      <c r="I154" s="2" t="s">
        <v>13</v>
      </c>
      <c r="J154" s="1" t="str">
        <f t="shared" si="8"/>
        <v>Current</v>
      </c>
      <c r="K154" s="3">
        <v>23</v>
      </c>
      <c r="L154" s="2" t="s">
        <v>746</v>
      </c>
      <c r="M154" t="str">
        <f t="shared" si="9"/>
        <v xml:space="preserve"> Young Adults</v>
      </c>
      <c r="N154" s="2" t="s">
        <v>739</v>
      </c>
      <c r="O154" s="1" t="str">
        <f t="shared" si="10"/>
        <v>College</v>
      </c>
      <c r="P154" s="2" t="s">
        <v>736</v>
      </c>
      <c r="Q154" t="str">
        <f t="shared" si="11"/>
        <v>Female</v>
      </c>
    </row>
    <row r="155" spans="1:17" x14ac:dyDescent="0.25">
      <c r="A155" s="1" t="s">
        <v>248</v>
      </c>
      <c r="B155" s="2" t="s">
        <v>11</v>
      </c>
      <c r="C155" s="3">
        <v>1000</v>
      </c>
      <c r="D155" s="3">
        <v>15</v>
      </c>
      <c r="E155" s="18">
        <v>42713</v>
      </c>
      <c r="F155" s="18" t="s">
        <v>237</v>
      </c>
      <c r="G155" s="19" t="s">
        <v>238</v>
      </c>
      <c r="I155" s="2" t="s">
        <v>13</v>
      </c>
      <c r="J155" s="1" t="str">
        <f t="shared" si="8"/>
        <v>Current</v>
      </c>
      <c r="K155" s="3">
        <v>30</v>
      </c>
      <c r="L155" s="2" t="s">
        <v>745</v>
      </c>
      <c r="M155" t="str">
        <f t="shared" si="9"/>
        <v>Middle Aged</v>
      </c>
      <c r="N155" s="2" t="s">
        <v>739</v>
      </c>
      <c r="O155" s="1" t="str">
        <f t="shared" si="10"/>
        <v>College</v>
      </c>
      <c r="P155" s="2" t="s">
        <v>735</v>
      </c>
      <c r="Q155" t="str">
        <f t="shared" si="11"/>
        <v>Male</v>
      </c>
    </row>
    <row r="156" spans="1:17" x14ac:dyDescent="0.25">
      <c r="A156" s="1" t="s">
        <v>249</v>
      </c>
      <c r="B156" s="2" t="s">
        <v>11</v>
      </c>
      <c r="C156" s="3">
        <v>1000</v>
      </c>
      <c r="D156" s="3">
        <v>30</v>
      </c>
      <c r="E156" s="18">
        <v>42713</v>
      </c>
      <c r="F156" s="18">
        <v>42684</v>
      </c>
      <c r="G156" s="19">
        <v>42653.292361111111</v>
      </c>
      <c r="I156" s="2" t="s">
        <v>13</v>
      </c>
      <c r="J156" s="1" t="str">
        <f t="shared" si="8"/>
        <v>Current</v>
      </c>
      <c r="K156" s="3">
        <v>34</v>
      </c>
      <c r="L156" s="2" t="s">
        <v>743</v>
      </c>
      <c r="M156" t="str">
        <f t="shared" si="9"/>
        <v>Mature</v>
      </c>
      <c r="N156" s="2" t="s">
        <v>739</v>
      </c>
      <c r="O156" s="1" t="str">
        <f t="shared" si="10"/>
        <v>College</v>
      </c>
      <c r="P156" s="2" t="s">
        <v>735</v>
      </c>
      <c r="Q156" t="str">
        <f t="shared" si="11"/>
        <v>Male</v>
      </c>
    </row>
    <row r="157" spans="1:17" x14ac:dyDescent="0.25">
      <c r="A157" s="1" t="s">
        <v>250</v>
      </c>
      <c r="B157" s="2" t="s">
        <v>11</v>
      </c>
      <c r="C157" s="3">
        <v>1000</v>
      </c>
      <c r="D157" s="3">
        <v>30</v>
      </c>
      <c r="E157" s="18">
        <v>42713</v>
      </c>
      <c r="F157" s="18">
        <v>42684</v>
      </c>
      <c r="G157" s="19">
        <v>42684.541666666664</v>
      </c>
      <c r="I157" s="2" t="s">
        <v>13</v>
      </c>
      <c r="J157" s="1" t="str">
        <f t="shared" si="8"/>
        <v>Current</v>
      </c>
      <c r="K157" s="3">
        <v>36</v>
      </c>
      <c r="L157" s="2" t="s">
        <v>743</v>
      </c>
      <c r="M157" t="str">
        <f t="shared" si="9"/>
        <v>Mature</v>
      </c>
      <c r="N157" s="2" t="s">
        <v>737</v>
      </c>
      <c r="O157" s="1" t="str">
        <f t="shared" si="10"/>
        <v>High School Or Below</v>
      </c>
      <c r="P157" s="2" t="s">
        <v>736</v>
      </c>
      <c r="Q157" t="str">
        <f t="shared" si="11"/>
        <v>Female</v>
      </c>
    </row>
    <row r="158" spans="1:17" x14ac:dyDescent="0.25">
      <c r="A158" s="1" t="s">
        <v>251</v>
      </c>
      <c r="B158" s="2" t="s">
        <v>11</v>
      </c>
      <c r="C158" s="3">
        <v>1000</v>
      </c>
      <c r="D158" s="3">
        <v>15</v>
      </c>
      <c r="E158" s="18">
        <v>42713</v>
      </c>
      <c r="F158" s="18" t="s">
        <v>237</v>
      </c>
      <c r="G158" s="19" t="s">
        <v>238</v>
      </c>
      <c r="I158" s="2" t="s">
        <v>13</v>
      </c>
      <c r="J158" s="1" t="str">
        <f t="shared" si="8"/>
        <v>Current</v>
      </c>
      <c r="K158" s="3">
        <v>26</v>
      </c>
      <c r="L158" s="2" t="s">
        <v>745</v>
      </c>
      <c r="M158" t="str">
        <f t="shared" si="9"/>
        <v>Middle Aged</v>
      </c>
      <c r="N158" s="2" t="s">
        <v>738</v>
      </c>
      <c r="O158" s="1" t="str">
        <f t="shared" si="10"/>
        <v>Bachelor</v>
      </c>
      <c r="P158" s="2" t="s">
        <v>735</v>
      </c>
      <c r="Q158" t="str">
        <f t="shared" si="11"/>
        <v>Male</v>
      </c>
    </row>
    <row r="159" spans="1:17" x14ac:dyDescent="0.25">
      <c r="A159" s="1" t="s">
        <v>252</v>
      </c>
      <c r="B159" s="2" t="s">
        <v>11</v>
      </c>
      <c r="C159" s="3">
        <v>800</v>
      </c>
      <c r="D159" s="3">
        <v>15</v>
      </c>
      <c r="E159" s="18">
        <v>42713</v>
      </c>
      <c r="F159" s="18" t="s">
        <v>237</v>
      </c>
      <c r="G159" s="19" t="s">
        <v>253</v>
      </c>
      <c r="I159" s="2" t="s">
        <v>13</v>
      </c>
      <c r="J159" s="1" t="str">
        <f t="shared" si="8"/>
        <v>Current</v>
      </c>
      <c r="K159" s="3">
        <v>29</v>
      </c>
      <c r="L159" s="2" t="s">
        <v>745</v>
      </c>
      <c r="M159" t="str">
        <f t="shared" si="9"/>
        <v>Middle Aged</v>
      </c>
      <c r="N159" s="2" t="s">
        <v>737</v>
      </c>
      <c r="O159" s="1" t="str">
        <f t="shared" si="10"/>
        <v>High School Or Below</v>
      </c>
      <c r="P159" s="2" t="s">
        <v>735</v>
      </c>
      <c r="Q159" t="str">
        <f t="shared" si="11"/>
        <v>Male</v>
      </c>
    </row>
    <row r="160" spans="1:17" x14ac:dyDescent="0.25">
      <c r="A160" s="1" t="s">
        <v>254</v>
      </c>
      <c r="B160" s="2" t="s">
        <v>11</v>
      </c>
      <c r="C160" s="3">
        <v>1000</v>
      </c>
      <c r="D160" s="3">
        <v>15</v>
      </c>
      <c r="E160" s="18">
        <v>42713</v>
      </c>
      <c r="F160" s="18" t="s">
        <v>237</v>
      </c>
      <c r="G160" s="19" t="s">
        <v>238</v>
      </c>
      <c r="I160" s="2" t="s">
        <v>13</v>
      </c>
      <c r="J160" s="1" t="str">
        <f t="shared" si="8"/>
        <v>Current</v>
      </c>
      <c r="K160" s="3">
        <v>28</v>
      </c>
      <c r="L160" s="2" t="s">
        <v>745</v>
      </c>
      <c r="M160" t="str">
        <f t="shared" si="9"/>
        <v>Middle Aged</v>
      </c>
      <c r="N160" s="2" t="s">
        <v>739</v>
      </c>
      <c r="O160" s="1" t="str">
        <f t="shared" si="10"/>
        <v>College</v>
      </c>
      <c r="P160" s="2" t="s">
        <v>736</v>
      </c>
      <c r="Q160" t="str">
        <f t="shared" si="11"/>
        <v>Female</v>
      </c>
    </row>
    <row r="161" spans="1:17" x14ac:dyDescent="0.25">
      <c r="A161" s="1" t="s">
        <v>255</v>
      </c>
      <c r="B161" s="2" t="s">
        <v>11</v>
      </c>
      <c r="C161" s="3">
        <v>1000</v>
      </c>
      <c r="D161" s="3">
        <v>30</v>
      </c>
      <c r="E161" s="18">
        <v>42713</v>
      </c>
      <c r="F161" s="18">
        <v>42684</v>
      </c>
      <c r="G161" s="19" t="s">
        <v>256</v>
      </c>
      <c r="I161" s="2" t="s">
        <v>13</v>
      </c>
      <c r="J161" s="1" t="str">
        <f t="shared" si="8"/>
        <v>Current</v>
      </c>
      <c r="K161" s="3">
        <v>27</v>
      </c>
      <c r="L161" s="2" t="s">
        <v>745</v>
      </c>
      <c r="M161" t="str">
        <f t="shared" si="9"/>
        <v>Middle Aged</v>
      </c>
      <c r="N161" s="2" t="s">
        <v>737</v>
      </c>
      <c r="O161" s="1" t="str">
        <f t="shared" si="10"/>
        <v>High School Or Below</v>
      </c>
      <c r="P161" s="2" t="s">
        <v>735</v>
      </c>
      <c r="Q161" t="str">
        <f t="shared" si="11"/>
        <v>Male</v>
      </c>
    </row>
    <row r="162" spans="1:17" x14ac:dyDescent="0.25">
      <c r="A162" s="1" t="s">
        <v>257</v>
      </c>
      <c r="B162" s="2" t="s">
        <v>11</v>
      </c>
      <c r="C162" s="3">
        <v>1000</v>
      </c>
      <c r="D162" s="3">
        <v>15</v>
      </c>
      <c r="E162" s="18">
        <v>42713</v>
      </c>
      <c r="F162" s="18" t="s">
        <v>237</v>
      </c>
      <c r="G162" s="19" t="s">
        <v>258</v>
      </c>
      <c r="I162" s="2" t="s">
        <v>13</v>
      </c>
      <c r="J162" s="1" t="str">
        <f t="shared" si="8"/>
        <v>Current</v>
      </c>
      <c r="K162" s="3">
        <v>24</v>
      </c>
      <c r="L162" s="2" t="s">
        <v>746</v>
      </c>
      <c r="M162" t="str">
        <f t="shared" si="9"/>
        <v xml:space="preserve"> Young Adults</v>
      </c>
      <c r="N162" s="2" t="s">
        <v>737</v>
      </c>
      <c r="O162" s="1" t="str">
        <f t="shared" si="10"/>
        <v>High School Or Below</v>
      </c>
      <c r="P162" s="2" t="s">
        <v>735</v>
      </c>
      <c r="Q162" t="str">
        <f t="shared" si="11"/>
        <v>Male</v>
      </c>
    </row>
    <row r="163" spans="1:17" x14ac:dyDescent="0.25">
      <c r="A163" s="1" t="s">
        <v>259</v>
      </c>
      <c r="B163" s="2" t="s">
        <v>11</v>
      </c>
      <c r="C163" s="3">
        <v>800</v>
      </c>
      <c r="D163" s="3">
        <v>15</v>
      </c>
      <c r="E163" s="18">
        <v>42713</v>
      </c>
      <c r="F163" s="18" t="s">
        <v>237</v>
      </c>
      <c r="G163" s="19" t="s">
        <v>260</v>
      </c>
      <c r="I163" s="2" t="s">
        <v>13</v>
      </c>
      <c r="J163" s="1" t="str">
        <f t="shared" si="8"/>
        <v>Current</v>
      </c>
      <c r="K163" s="3">
        <v>31</v>
      </c>
      <c r="L163" s="2" t="s">
        <v>745</v>
      </c>
      <c r="M163" t="str">
        <f t="shared" si="9"/>
        <v>Middle Aged</v>
      </c>
      <c r="N163" s="2" t="s">
        <v>738</v>
      </c>
      <c r="O163" s="1" t="str">
        <f t="shared" si="10"/>
        <v>Bachelor</v>
      </c>
      <c r="P163" s="2" t="s">
        <v>735</v>
      </c>
      <c r="Q163" t="str">
        <f t="shared" si="11"/>
        <v>Male</v>
      </c>
    </row>
    <row r="164" spans="1:17" x14ac:dyDescent="0.25">
      <c r="A164" s="1" t="s">
        <v>261</v>
      </c>
      <c r="B164" s="2" t="s">
        <v>11</v>
      </c>
      <c r="C164" s="3">
        <v>1000</v>
      </c>
      <c r="D164" s="3">
        <v>30</v>
      </c>
      <c r="E164" s="18">
        <v>42713</v>
      </c>
      <c r="F164" s="18">
        <v>42684</v>
      </c>
      <c r="G164" s="19">
        <v>42684.375</v>
      </c>
      <c r="I164" s="2" t="s">
        <v>13</v>
      </c>
      <c r="J164" s="1" t="str">
        <f t="shared" si="8"/>
        <v>Current</v>
      </c>
      <c r="K164" s="3">
        <v>28</v>
      </c>
      <c r="L164" s="2" t="s">
        <v>745</v>
      </c>
      <c r="M164" t="str">
        <f t="shared" si="9"/>
        <v>Middle Aged</v>
      </c>
      <c r="N164" s="2" t="s">
        <v>737</v>
      </c>
      <c r="O164" s="1" t="str">
        <f t="shared" si="10"/>
        <v>High School Or Below</v>
      </c>
      <c r="P164" s="2" t="s">
        <v>735</v>
      </c>
      <c r="Q164" t="str">
        <f t="shared" si="11"/>
        <v>Male</v>
      </c>
    </row>
    <row r="165" spans="1:17" x14ac:dyDescent="0.25">
      <c r="A165" s="1" t="s">
        <v>262</v>
      </c>
      <c r="B165" s="2" t="s">
        <v>11</v>
      </c>
      <c r="C165" s="3">
        <v>1000</v>
      </c>
      <c r="D165" s="3">
        <v>15</v>
      </c>
      <c r="E165" s="18">
        <v>42713</v>
      </c>
      <c r="F165" s="18" t="s">
        <v>237</v>
      </c>
      <c r="G165" s="19" t="s">
        <v>238</v>
      </c>
      <c r="I165" s="2" t="s">
        <v>13</v>
      </c>
      <c r="J165" s="1" t="str">
        <f t="shared" si="8"/>
        <v>Current</v>
      </c>
      <c r="K165" s="3">
        <v>27</v>
      </c>
      <c r="L165" s="2" t="s">
        <v>745</v>
      </c>
      <c r="M165" t="str">
        <f t="shared" si="9"/>
        <v>Middle Aged</v>
      </c>
      <c r="N165" s="2" t="s">
        <v>739</v>
      </c>
      <c r="O165" s="1" t="str">
        <f t="shared" si="10"/>
        <v>College</v>
      </c>
      <c r="P165" s="2" t="s">
        <v>736</v>
      </c>
      <c r="Q165" t="str">
        <f t="shared" si="11"/>
        <v>Female</v>
      </c>
    </row>
    <row r="166" spans="1:17" x14ac:dyDescent="0.25">
      <c r="A166" s="1" t="s">
        <v>263</v>
      </c>
      <c r="B166" s="2" t="s">
        <v>11</v>
      </c>
      <c r="C166" s="3">
        <v>1000</v>
      </c>
      <c r="D166" s="3">
        <v>15</v>
      </c>
      <c r="E166" s="18">
        <v>42713</v>
      </c>
      <c r="F166" s="18" t="s">
        <v>237</v>
      </c>
      <c r="G166" s="19" t="s">
        <v>264</v>
      </c>
      <c r="I166" s="2" t="s">
        <v>13</v>
      </c>
      <c r="J166" s="1" t="str">
        <f t="shared" si="8"/>
        <v>Current</v>
      </c>
      <c r="K166" s="3">
        <v>25</v>
      </c>
      <c r="L166" s="2" t="s">
        <v>746</v>
      </c>
      <c r="M166" t="str">
        <f t="shared" si="9"/>
        <v xml:space="preserve"> Young Adults</v>
      </c>
      <c r="N166" s="2" t="s">
        <v>737</v>
      </c>
      <c r="O166" s="1" t="str">
        <f t="shared" si="10"/>
        <v>High School Or Below</v>
      </c>
      <c r="P166" s="2" t="s">
        <v>735</v>
      </c>
      <c r="Q166" t="str">
        <f t="shared" si="11"/>
        <v>Male</v>
      </c>
    </row>
    <row r="167" spans="1:17" x14ac:dyDescent="0.25">
      <c r="A167" s="1" t="s">
        <v>265</v>
      </c>
      <c r="B167" s="2" t="s">
        <v>11</v>
      </c>
      <c r="C167" s="3">
        <v>1000</v>
      </c>
      <c r="D167" s="3">
        <v>30</v>
      </c>
      <c r="E167" s="18">
        <v>42713</v>
      </c>
      <c r="F167" s="18">
        <v>42654</v>
      </c>
      <c r="G167" s="19">
        <v>42654.666666666664</v>
      </c>
      <c r="I167" s="2" t="s">
        <v>13</v>
      </c>
      <c r="J167" s="1" t="str">
        <f t="shared" si="8"/>
        <v>Current</v>
      </c>
      <c r="K167" s="3">
        <v>24</v>
      </c>
      <c r="L167" s="2" t="s">
        <v>746</v>
      </c>
      <c r="M167" t="str">
        <f t="shared" si="9"/>
        <v xml:space="preserve"> Young Adults</v>
      </c>
      <c r="N167" s="2" t="s">
        <v>737</v>
      </c>
      <c r="O167" s="1" t="str">
        <f t="shared" si="10"/>
        <v>High School Or Below</v>
      </c>
      <c r="P167" s="2" t="s">
        <v>735</v>
      </c>
      <c r="Q167" t="str">
        <f t="shared" si="11"/>
        <v>Male</v>
      </c>
    </row>
    <row r="168" spans="1:17" x14ac:dyDescent="0.25">
      <c r="A168" s="1" t="s">
        <v>266</v>
      </c>
      <c r="B168" s="2" t="s">
        <v>11</v>
      </c>
      <c r="C168" s="3">
        <v>1000</v>
      </c>
      <c r="D168" s="3">
        <v>30</v>
      </c>
      <c r="E168" s="18">
        <v>42713</v>
      </c>
      <c r="F168" s="18">
        <v>42684</v>
      </c>
      <c r="G168" s="19">
        <v>42684.666666666664</v>
      </c>
      <c r="I168" s="2" t="s">
        <v>13</v>
      </c>
      <c r="J168" s="1" t="str">
        <f t="shared" si="8"/>
        <v>Current</v>
      </c>
      <c r="K168" s="3">
        <v>28</v>
      </c>
      <c r="L168" s="2" t="s">
        <v>745</v>
      </c>
      <c r="M168" t="str">
        <f t="shared" si="9"/>
        <v>Middle Aged</v>
      </c>
      <c r="N168" s="2" t="s">
        <v>739</v>
      </c>
      <c r="O168" s="1" t="str">
        <f t="shared" si="10"/>
        <v>College</v>
      </c>
      <c r="P168" s="2" t="s">
        <v>735</v>
      </c>
      <c r="Q168" t="str">
        <f t="shared" si="11"/>
        <v>Male</v>
      </c>
    </row>
    <row r="169" spans="1:17" x14ac:dyDescent="0.25">
      <c r="A169" s="1" t="s">
        <v>267</v>
      </c>
      <c r="B169" s="2" t="s">
        <v>11</v>
      </c>
      <c r="C169" s="3">
        <v>800</v>
      </c>
      <c r="D169" s="3">
        <v>30</v>
      </c>
      <c r="E169" s="18">
        <v>42713</v>
      </c>
      <c r="F169" s="18">
        <v>42684</v>
      </c>
      <c r="G169" s="19">
        <v>42684.666666666664</v>
      </c>
      <c r="I169" s="2" t="s">
        <v>13</v>
      </c>
      <c r="J169" s="1" t="str">
        <f t="shared" si="8"/>
        <v>Current</v>
      </c>
      <c r="K169" s="3">
        <v>28</v>
      </c>
      <c r="L169" s="2" t="s">
        <v>745</v>
      </c>
      <c r="M169" t="str">
        <f t="shared" si="9"/>
        <v>Middle Aged</v>
      </c>
      <c r="N169" s="2" t="s">
        <v>739</v>
      </c>
      <c r="O169" s="1" t="str">
        <f t="shared" si="10"/>
        <v>College</v>
      </c>
      <c r="P169" s="2" t="s">
        <v>735</v>
      </c>
      <c r="Q169" t="str">
        <f t="shared" si="11"/>
        <v>Male</v>
      </c>
    </row>
    <row r="170" spans="1:17" x14ac:dyDescent="0.25">
      <c r="A170" s="1" t="s">
        <v>268</v>
      </c>
      <c r="B170" s="2" t="s">
        <v>11</v>
      </c>
      <c r="C170" s="3">
        <v>1000</v>
      </c>
      <c r="D170" s="3">
        <v>15</v>
      </c>
      <c r="E170" s="18">
        <v>42713</v>
      </c>
      <c r="F170" s="18" t="s">
        <v>237</v>
      </c>
      <c r="G170" s="19" t="s">
        <v>269</v>
      </c>
      <c r="I170" s="2" t="s">
        <v>13</v>
      </c>
      <c r="J170" s="1" t="str">
        <f t="shared" si="8"/>
        <v>Current</v>
      </c>
      <c r="K170" s="3">
        <v>35</v>
      </c>
      <c r="L170" s="2" t="s">
        <v>743</v>
      </c>
      <c r="M170" t="str">
        <f t="shared" si="9"/>
        <v>Mature</v>
      </c>
      <c r="N170" s="2" t="s">
        <v>737</v>
      </c>
      <c r="O170" s="1" t="str">
        <f t="shared" si="10"/>
        <v>High School Or Below</v>
      </c>
      <c r="P170" s="2" t="s">
        <v>735</v>
      </c>
      <c r="Q170" t="str">
        <f t="shared" si="11"/>
        <v>Male</v>
      </c>
    </row>
    <row r="171" spans="1:17" x14ac:dyDescent="0.25">
      <c r="A171" s="1" t="s">
        <v>270</v>
      </c>
      <c r="B171" s="2" t="s">
        <v>11</v>
      </c>
      <c r="C171" s="3">
        <v>1000</v>
      </c>
      <c r="D171" s="3">
        <v>30</v>
      </c>
      <c r="E171" s="18">
        <v>42713</v>
      </c>
      <c r="F171" s="18">
        <v>42684</v>
      </c>
      <c r="G171" s="19">
        <v>42684.541666666664</v>
      </c>
      <c r="I171" s="2" t="s">
        <v>13</v>
      </c>
      <c r="J171" s="1" t="str">
        <f t="shared" si="8"/>
        <v>Current</v>
      </c>
      <c r="K171" s="3">
        <v>38</v>
      </c>
      <c r="L171" s="2" t="s">
        <v>743</v>
      </c>
      <c r="M171" t="str">
        <f t="shared" si="9"/>
        <v>Mature</v>
      </c>
      <c r="N171" s="2" t="s">
        <v>739</v>
      </c>
      <c r="O171" s="1" t="str">
        <f t="shared" si="10"/>
        <v>College</v>
      </c>
      <c r="P171" s="2" t="s">
        <v>735</v>
      </c>
      <c r="Q171" t="str">
        <f t="shared" si="11"/>
        <v>Male</v>
      </c>
    </row>
    <row r="172" spans="1:17" x14ac:dyDescent="0.25">
      <c r="A172" s="1" t="s">
        <v>271</v>
      </c>
      <c r="B172" s="2" t="s">
        <v>11</v>
      </c>
      <c r="C172" s="3">
        <v>1000</v>
      </c>
      <c r="D172" s="3">
        <v>15</v>
      </c>
      <c r="E172" s="18">
        <v>42713</v>
      </c>
      <c r="F172" s="18" t="s">
        <v>237</v>
      </c>
      <c r="G172" s="19" t="s">
        <v>272</v>
      </c>
      <c r="I172" s="2" t="s">
        <v>13</v>
      </c>
      <c r="J172" s="1" t="str">
        <f t="shared" si="8"/>
        <v>Current</v>
      </c>
      <c r="K172" s="3">
        <v>38</v>
      </c>
      <c r="L172" s="2" t="s">
        <v>743</v>
      </c>
      <c r="M172" t="str">
        <f t="shared" si="9"/>
        <v>Mature</v>
      </c>
      <c r="N172" s="2" t="s">
        <v>737</v>
      </c>
      <c r="O172" s="1" t="str">
        <f t="shared" si="10"/>
        <v>High School Or Below</v>
      </c>
      <c r="P172" s="2" t="s">
        <v>735</v>
      </c>
      <c r="Q172" t="str">
        <f t="shared" si="11"/>
        <v>Male</v>
      </c>
    </row>
    <row r="173" spans="1:17" x14ac:dyDescent="0.25">
      <c r="A173" s="1" t="s">
        <v>273</v>
      </c>
      <c r="B173" s="2" t="s">
        <v>11</v>
      </c>
      <c r="C173" s="3">
        <v>1000</v>
      </c>
      <c r="D173" s="3">
        <v>30</v>
      </c>
      <c r="E173" s="18">
        <v>42713</v>
      </c>
      <c r="F173" s="18">
        <v>42684</v>
      </c>
      <c r="G173" s="19">
        <v>42684.666666666664</v>
      </c>
      <c r="I173" s="2" t="s">
        <v>13</v>
      </c>
      <c r="J173" s="1" t="str">
        <f t="shared" si="8"/>
        <v>Current</v>
      </c>
      <c r="K173" s="3">
        <v>29</v>
      </c>
      <c r="L173" s="2" t="s">
        <v>745</v>
      </c>
      <c r="M173" t="str">
        <f t="shared" si="9"/>
        <v>Middle Aged</v>
      </c>
      <c r="N173" s="2" t="s">
        <v>739</v>
      </c>
      <c r="O173" s="1" t="str">
        <f t="shared" si="10"/>
        <v>College</v>
      </c>
      <c r="P173" s="2" t="s">
        <v>735</v>
      </c>
      <c r="Q173" t="str">
        <f t="shared" si="11"/>
        <v>Male</v>
      </c>
    </row>
    <row r="174" spans="1:17" x14ac:dyDescent="0.25">
      <c r="A174" s="1" t="s">
        <v>274</v>
      </c>
      <c r="B174" s="2" t="s">
        <v>11</v>
      </c>
      <c r="C174" s="3">
        <v>800</v>
      </c>
      <c r="D174" s="3">
        <v>15</v>
      </c>
      <c r="E174" s="18">
        <v>42713</v>
      </c>
      <c r="F174" s="18" t="s">
        <v>237</v>
      </c>
      <c r="G174" s="19" t="s">
        <v>269</v>
      </c>
      <c r="I174" s="2" t="s">
        <v>13</v>
      </c>
      <c r="J174" s="1" t="str">
        <f t="shared" si="8"/>
        <v>Current</v>
      </c>
      <c r="K174" s="3">
        <v>35</v>
      </c>
      <c r="L174" s="2" t="s">
        <v>743</v>
      </c>
      <c r="M174" t="str">
        <f t="shared" si="9"/>
        <v>Mature</v>
      </c>
      <c r="N174" s="2" t="s">
        <v>737</v>
      </c>
      <c r="O174" s="1" t="str">
        <f t="shared" si="10"/>
        <v>High School Or Below</v>
      </c>
      <c r="P174" s="2" t="s">
        <v>735</v>
      </c>
      <c r="Q174" t="str">
        <f t="shared" si="11"/>
        <v>Male</v>
      </c>
    </row>
    <row r="175" spans="1:17" x14ac:dyDescent="0.25">
      <c r="A175" s="1" t="s">
        <v>275</v>
      </c>
      <c r="B175" s="2" t="s">
        <v>11</v>
      </c>
      <c r="C175" s="3">
        <v>1000</v>
      </c>
      <c r="D175" s="3">
        <v>30</v>
      </c>
      <c r="E175" s="18">
        <v>42713</v>
      </c>
      <c r="F175" s="18">
        <v>42684</v>
      </c>
      <c r="G175" s="19" t="s">
        <v>276</v>
      </c>
      <c r="I175" s="2" t="s">
        <v>13</v>
      </c>
      <c r="J175" s="1" t="str">
        <f t="shared" si="8"/>
        <v>Current</v>
      </c>
      <c r="K175" s="3">
        <v>24</v>
      </c>
      <c r="L175" s="2" t="s">
        <v>746</v>
      </c>
      <c r="M175" t="str">
        <f t="shared" si="9"/>
        <v xml:space="preserve"> Young Adults</v>
      </c>
      <c r="N175" s="2" t="s">
        <v>739</v>
      </c>
      <c r="O175" s="1" t="str">
        <f t="shared" si="10"/>
        <v>College</v>
      </c>
      <c r="P175" s="2" t="s">
        <v>735</v>
      </c>
      <c r="Q175" t="str">
        <f t="shared" si="11"/>
        <v>Male</v>
      </c>
    </row>
    <row r="176" spans="1:17" x14ac:dyDescent="0.25">
      <c r="A176" s="1" t="s">
        <v>277</v>
      </c>
      <c r="B176" s="2" t="s">
        <v>11</v>
      </c>
      <c r="C176" s="3">
        <v>800</v>
      </c>
      <c r="D176" s="3">
        <v>15</v>
      </c>
      <c r="E176" s="18">
        <v>42713</v>
      </c>
      <c r="F176" s="18" t="s">
        <v>237</v>
      </c>
      <c r="G176" s="19" t="s">
        <v>278</v>
      </c>
      <c r="I176" s="2" t="s">
        <v>13</v>
      </c>
      <c r="J176" s="1" t="str">
        <f t="shared" si="8"/>
        <v>Current</v>
      </c>
      <c r="K176" s="3">
        <v>39</v>
      </c>
      <c r="L176" s="2" t="s">
        <v>743</v>
      </c>
      <c r="M176" t="str">
        <f t="shared" si="9"/>
        <v>Mature</v>
      </c>
      <c r="N176" s="2" t="s">
        <v>737</v>
      </c>
      <c r="O176" s="1" t="str">
        <f t="shared" si="10"/>
        <v>High School Or Below</v>
      </c>
      <c r="P176" s="2" t="s">
        <v>735</v>
      </c>
      <c r="Q176" t="str">
        <f t="shared" si="11"/>
        <v>Male</v>
      </c>
    </row>
    <row r="177" spans="1:17" x14ac:dyDescent="0.25">
      <c r="A177" s="1" t="s">
        <v>279</v>
      </c>
      <c r="B177" s="2" t="s">
        <v>11</v>
      </c>
      <c r="C177" s="3">
        <v>800</v>
      </c>
      <c r="D177" s="3">
        <v>15</v>
      </c>
      <c r="E177" s="18">
        <v>42713</v>
      </c>
      <c r="F177" s="18" t="s">
        <v>237</v>
      </c>
      <c r="G177" s="19" t="s">
        <v>269</v>
      </c>
      <c r="I177" s="2" t="s">
        <v>13</v>
      </c>
      <c r="J177" s="1" t="str">
        <f t="shared" si="8"/>
        <v>Current</v>
      </c>
      <c r="K177" s="3">
        <v>25</v>
      </c>
      <c r="L177" s="2" t="s">
        <v>746</v>
      </c>
      <c r="M177" t="str">
        <f t="shared" si="9"/>
        <v xml:space="preserve"> Young Adults</v>
      </c>
      <c r="N177" s="2" t="s">
        <v>739</v>
      </c>
      <c r="O177" s="1" t="str">
        <f t="shared" si="10"/>
        <v>College</v>
      </c>
      <c r="P177" s="2" t="s">
        <v>735</v>
      </c>
      <c r="Q177" t="str">
        <f t="shared" si="11"/>
        <v>Male</v>
      </c>
    </row>
    <row r="178" spans="1:17" x14ac:dyDescent="0.25">
      <c r="A178" s="1" t="s">
        <v>280</v>
      </c>
      <c r="B178" s="2" t="s">
        <v>11</v>
      </c>
      <c r="C178" s="3">
        <v>1000</v>
      </c>
      <c r="D178" s="3">
        <v>30</v>
      </c>
      <c r="E178" s="18">
        <v>42713</v>
      </c>
      <c r="F178" s="18">
        <v>42684</v>
      </c>
      <c r="G178" s="19">
        <v>42684.666666666664</v>
      </c>
      <c r="I178" s="2" t="s">
        <v>13</v>
      </c>
      <c r="J178" s="1" t="str">
        <f t="shared" si="8"/>
        <v>Current</v>
      </c>
      <c r="K178" s="3">
        <v>38</v>
      </c>
      <c r="L178" s="2" t="s">
        <v>743</v>
      </c>
      <c r="M178" t="str">
        <f t="shared" si="9"/>
        <v>Mature</v>
      </c>
      <c r="N178" s="2" t="s">
        <v>737</v>
      </c>
      <c r="O178" s="1" t="str">
        <f t="shared" si="10"/>
        <v>High School Or Below</v>
      </c>
      <c r="P178" s="2" t="s">
        <v>735</v>
      </c>
      <c r="Q178" t="str">
        <f t="shared" si="11"/>
        <v>Male</v>
      </c>
    </row>
    <row r="179" spans="1:17" x14ac:dyDescent="0.25">
      <c r="A179" s="1" t="s">
        <v>281</v>
      </c>
      <c r="B179" s="2" t="s">
        <v>11</v>
      </c>
      <c r="C179" s="3">
        <v>1000</v>
      </c>
      <c r="D179" s="3">
        <v>30</v>
      </c>
      <c r="E179" s="18">
        <v>42713</v>
      </c>
      <c r="F179" s="18">
        <v>42684</v>
      </c>
      <c r="G179" s="19">
        <v>42653.861805555556</v>
      </c>
      <c r="I179" s="2" t="s">
        <v>13</v>
      </c>
      <c r="J179" s="1" t="str">
        <f t="shared" si="8"/>
        <v>Current</v>
      </c>
      <c r="K179" s="3">
        <v>30</v>
      </c>
      <c r="L179" s="2" t="s">
        <v>745</v>
      </c>
      <c r="M179" t="str">
        <f t="shared" si="9"/>
        <v>Middle Aged</v>
      </c>
      <c r="N179" s="2" t="s">
        <v>739</v>
      </c>
      <c r="O179" s="1" t="str">
        <f t="shared" si="10"/>
        <v>College</v>
      </c>
      <c r="P179" s="2" t="s">
        <v>735</v>
      </c>
      <c r="Q179" t="str">
        <f t="shared" si="11"/>
        <v>Male</v>
      </c>
    </row>
    <row r="180" spans="1:17" x14ac:dyDescent="0.25">
      <c r="A180" s="1" t="s">
        <v>282</v>
      </c>
      <c r="B180" s="2" t="s">
        <v>11</v>
      </c>
      <c r="C180" s="3">
        <v>1000</v>
      </c>
      <c r="D180" s="3">
        <v>30</v>
      </c>
      <c r="E180" s="18">
        <v>42713</v>
      </c>
      <c r="F180" s="18">
        <v>42684</v>
      </c>
      <c r="G180" s="19">
        <v>42684.375</v>
      </c>
      <c r="I180" s="2" t="s">
        <v>13</v>
      </c>
      <c r="J180" s="1" t="str">
        <f t="shared" si="8"/>
        <v>Current</v>
      </c>
      <c r="K180" s="3">
        <v>21</v>
      </c>
      <c r="L180" s="2" t="s">
        <v>746</v>
      </c>
      <c r="M180" t="str">
        <f t="shared" si="9"/>
        <v xml:space="preserve"> Young Adults</v>
      </c>
      <c r="N180" s="2" t="s">
        <v>737</v>
      </c>
      <c r="O180" s="1" t="str">
        <f t="shared" si="10"/>
        <v>High School Or Below</v>
      </c>
      <c r="P180" s="2" t="s">
        <v>735</v>
      </c>
      <c r="Q180" t="str">
        <f t="shared" si="11"/>
        <v>Male</v>
      </c>
    </row>
    <row r="181" spans="1:17" x14ac:dyDescent="0.25">
      <c r="A181" s="1" t="s">
        <v>283</v>
      </c>
      <c r="B181" s="2" t="s">
        <v>11</v>
      </c>
      <c r="C181" s="3">
        <v>1000</v>
      </c>
      <c r="D181" s="3">
        <v>30</v>
      </c>
      <c r="E181" s="18">
        <v>42713</v>
      </c>
      <c r="F181" s="18">
        <v>42684</v>
      </c>
      <c r="G181" s="19">
        <v>42653.336111111108</v>
      </c>
      <c r="I181" s="2" t="s">
        <v>13</v>
      </c>
      <c r="J181" s="1" t="str">
        <f t="shared" si="8"/>
        <v>Current</v>
      </c>
      <c r="K181" s="3">
        <v>46</v>
      </c>
      <c r="L181" s="2" t="s">
        <v>743</v>
      </c>
      <c r="M181" t="str">
        <f t="shared" si="9"/>
        <v>Mature</v>
      </c>
      <c r="N181" s="2" t="s">
        <v>739</v>
      </c>
      <c r="O181" s="1" t="str">
        <f t="shared" si="10"/>
        <v>College</v>
      </c>
      <c r="P181" s="2" t="s">
        <v>735</v>
      </c>
      <c r="Q181" t="str">
        <f t="shared" si="11"/>
        <v>Male</v>
      </c>
    </row>
    <row r="182" spans="1:17" x14ac:dyDescent="0.25">
      <c r="A182" s="1" t="s">
        <v>284</v>
      </c>
      <c r="B182" s="2" t="s">
        <v>11</v>
      </c>
      <c r="C182" s="3">
        <v>1000</v>
      </c>
      <c r="D182" s="3">
        <v>15</v>
      </c>
      <c r="E182" s="18">
        <v>42713</v>
      </c>
      <c r="F182" s="18" t="s">
        <v>237</v>
      </c>
      <c r="G182" s="19" t="s">
        <v>285</v>
      </c>
      <c r="I182" s="2" t="s">
        <v>13</v>
      </c>
      <c r="J182" s="1" t="str">
        <f t="shared" si="8"/>
        <v>Current</v>
      </c>
      <c r="K182" s="3">
        <v>31</v>
      </c>
      <c r="L182" s="2" t="s">
        <v>745</v>
      </c>
      <c r="M182" t="str">
        <f t="shared" si="9"/>
        <v>Middle Aged</v>
      </c>
      <c r="N182" s="2" t="s">
        <v>737</v>
      </c>
      <c r="O182" s="1" t="str">
        <f t="shared" si="10"/>
        <v>High School Or Below</v>
      </c>
      <c r="P182" s="2" t="s">
        <v>736</v>
      </c>
      <c r="Q182" t="str">
        <f t="shared" si="11"/>
        <v>Female</v>
      </c>
    </row>
    <row r="183" spans="1:17" x14ac:dyDescent="0.25">
      <c r="A183" s="1" t="s">
        <v>286</v>
      </c>
      <c r="B183" s="2" t="s">
        <v>11</v>
      </c>
      <c r="C183" s="3">
        <v>300</v>
      </c>
      <c r="D183" s="3">
        <v>7</v>
      </c>
      <c r="E183" s="18">
        <v>42713</v>
      </c>
      <c r="F183" s="18" t="s">
        <v>234</v>
      </c>
      <c r="G183" s="19" t="s">
        <v>287</v>
      </c>
      <c r="I183" s="2" t="s">
        <v>13</v>
      </c>
      <c r="J183" s="1" t="str">
        <f t="shared" si="8"/>
        <v>Current</v>
      </c>
      <c r="K183" s="3">
        <v>29</v>
      </c>
      <c r="L183" s="2" t="s">
        <v>745</v>
      </c>
      <c r="M183" t="str">
        <f t="shared" si="9"/>
        <v>Middle Aged</v>
      </c>
      <c r="N183" s="2" t="s">
        <v>737</v>
      </c>
      <c r="O183" s="1" t="str">
        <f t="shared" si="10"/>
        <v>High School Or Below</v>
      </c>
      <c r="P183" s="2" t="s">
        <v>735</v>
      </c>
      <c r="Q183" t="str">
        <f t="shared" si="11"/>
        <v>Male</v>
      </c>
    </row>
    <row r="184" spans="1:17" x14ac:dyDescent="0.25">
      <c r="A184" s="1" t="s">
        <v>288</v>
      </c>
      <c r="B184" s="2" t="s">
        <v>11</v>
      </c>
      <c r="C184" s="3">
        <v>1000</v>
      </c>
      <c r="D184" s="3">
        <v>30</v>
      </c>
      <c r="E184" s="18">
        <v>42713</v>
      </c>
      <c r="F184" s="18">
        <v>42684</v>
      </c>
      <c r="G184" s="19">
        <v>42561.495138888888</v>
      </c>
      <c r="I184" s="2" t="s">
        <v>13</v>
      </c>
      <c r="J184" s="1" t="str">
        <f t="shared" si="8"/>
        <v>Current</v>
      </c>
      <c r="K184" s="3">
        <v>35</v>
      </c>
      <c r="L184" s="2" t="s">
        <v>743</v>
      </c>
      <c r="M184" t="str">
        <f t="shared" si="9"/>
        <v>Mature</v>
      </c>
      <c r="N184" s="2" t="s">
        <v>737</v>
      </c>
      <c r="O184" s="1" t="str">
        <f t="shared" si="10"/>
        <v>High School Or Below</v>
      </c>
      <c r="P184" s="2" t="s">
        <v>735</v>
      </c>
      <c r="Q184" t="str">
        <f t="shared" si="11"/>
        <v>Male</v>
      </c>
    </row>
    <row r="185" spans="1:17" x14ac:dyDescent="0.25">
      <c r="A185" s="1" t="s">
        <v>289</v>
      </c>
      <c r="B185" s="2" t="s">
        <v>11</v>
      </c>
      <c r="C185" s="3">
        <v>800</v>
      </c>
      <c r="D185" s="3">
        <v>15</v>
      </c>
      <c r="E185" s="18">
        <v>42713</v>
      </c>
      <c r="F185" s="18" t="s">
        <v>237</v>
      </c>
      <c r="G185" s="19" t="s">
        <v>290</v>
      </c>
      <c r="I185" s="2" t="s">
        <v>13</v>
      </c>
      <c r="J185" s="1" t="str">
        <f t="shared" si="8"/>
        <v>Current</v>
      </c>
      <c r="K185" s="3">
        <v>30</v>
      </c>
      <c r="L185" s="2" t="s">
        <v>745</v>
      </c>
      <c r="M185" t="str">
        <f t="shared" si="9"/>
        <v>Middle Aged</v>
      </c>
      <c r="N185" s="2" t="s">
        <v>737</v>
      </c>
      <c r="O185" s="1" t="str">
        <f t="shared" si="10"/>
        <v>High School Or Below</v>
      </c>
      <c r="P185" s="2" t="s">
        <v>735</v>
      </c>
      <c r="Q185" t="str">
        <f t="shared" si="11"/>
        <v>Male</v>
      </c>
    </row>
    <row r="186" spans="1:17" x14ac:dyDescent="0.25">
      <c r="A186" s="1" t="s">
        <v>291</v>
      </c>
      <c r="B186" s="2" t="s">
        <v>11</v>
      </c>
      <c r="C186" s="3">
        <v>1000</v>
      </c>
      <c r="D186" s="3">
        <v>30</v>
      </c>
      <c r="E186" s="18">
        <v>42713</v>
      </c>
      <c r="F186" s="18">
        <v>42684</v>
      </c>
      <c r="G186" s="19">
        <v>42684.375</v>
      </c>
      <c r="I186" s="2" t="s">
        <v>13</v>
      </c>
      <c r="J186" s="1" t="str">
        <f t="shared" si="8"/>
        <v>Current</v>
      </c>
      <c r="K186" s="3">
        <v>27</v>
      </c>
      <c r="L186" s="2" t="s">
        <v>745</v>
      </c>
      <c r="M186" t="str">
        <f t="shared" si="9"/>
        <v>Middle Aged</v>
      </c>
      <c r="N186" s="2" t="s">
        <v>737</v>
      </c>
      <c r="O186" s="1" t="str">
        <f t="shared" si="10"/>
        <v>High School Or Below</v>
      </c>
      <c r="P186" s="2" t="s">
        <v>735</v>
      </c>
      <c r="Q186" t="str">
        <f t="shared" si="11"/>
        <v>Male</v>
      </c>
    </row>
    <row r="187" spans="1:17" x14ac:dyDescent="0.25">
      <c r="A187" s="1" t="s">
        <v>292</v>
      </c>
      <c r="B187" s="2" t="s">
        <v>11</v>
      </c>
      <c r="C187" s="3">
        <v>1000</v>
      </c>
      <c r="D187" s="3">
        <v>30</v>
      </c>
      <c r="E187" s="18">
        <v>42713</v>
      </c>
      <c r="F187" s="18">
        <v>42684</v>
      </c>
      <c r="G187" s="19">
        <v>42653.852777777778</v>
      </c>
      <c r="I187" s="2" t="s">
        <v>13</v>
      </c>
      <c r="J187" s="1" t="str">
        <f t="shared" si="8"/>
        <v>Current</v>
      </c>
      <c r="K187" s="3">
        <v>31</v>
      </c>
      <c r="L187" s="2" t="s">
        <v>745</v>
      </c>
      <c r="M187" t="str">
        <f t="shared" si="9"/>
        <v>Middle Aged</v>
      </c>
      <c r="N187" s="2" t="s">
        <v>737</v>
      </c>
      <c r="O187" s="1" t="str">
        <f t="shared" si="10"/>
        <v>High School Or Below</v>
      </c>
      <c r="P187" s="2" t="s">
        <v>736</v>
      </c>
      <c r="Q187" t="str">
        <f t="shared" si="11"/>
        <v>Female</v>
      </c>
    </row>
    <row r="188" spans="1:17" x14ac:dyDescent="0.25">
      <c r="A188" s="1" t="s">
        <v>293</v>
      </c>
      <c r="B188" s="2" t="s">
        <v>11</v>
      </c>
      <c r="C188" s="3">
        <v>1000</v>
      </c>
      <c r="D188" s="3">
        <v>30</v>
      </c>
      <c r="E188" s="18">
        <v>42713</v>
      </c>
      <c r="F188" s="18">
        <v>42684</v>
      </c>
      <c r="G188" s="19">
        <v>42379.429166666669</v>
      </c>
      <c r="I188" s="2" t="s">
        <v>13</v>
      </c>
      <c r="J188" s="1" t="str">
        <f t="shared" si="8"/>
        <v>Current</v>
      </c>
      <c r="K188" s="3">
        <v>33</v>
      </c>
      <c r="L188" s="2" t="s">
        <v>745</v>
      </c>
      <c r="M188" t="str">
        <f t="shared" si="9"/>
        <v>Middle Aged</v>
      </c>
      <c r="N188" s="2" t="s">
        <v>738</v>
      </c>
      <c r="O188" s="1" t="str">
        <f t="shared" si="10"/>
        <v>Bachelor</v>
      </c>
      <c r="P188" s="2" t="s">
        <v>735</v>
      </c>
      <c r="Q188" t="str">
        <f t="shared" si="11"/>
        <v>Male</v>
      </c>
    </row>
    <row r="189" spans="1:17" x14ac:dyDescent="0.25">
      <c r="A189" s="1" t="s">
        <v>294</v>
      </c>
      <c r="B189" s="2" t="s">
        <v>11</v>
      </c>
      <c r="C189" s="3">
        <v>1000</v>
      </c>
      <c r="D189" s="3">
        <v>15</v>
      </c>
      <c r="E189" s="18">
        <v>42713</v>
      </c>
      <c r="F189" s="18" t="s">
        <v>237</v>
      </c>
      <c r="G189" s="19" t="s">
        <v>272</v>
      </c>
      <c r="I189" s="2" t="s">
        <v>13</v>
      </c>
      <c r="J189" s="1" t="str">
        <f t="shared" si="8"/>
        <v>Current</v>
      </c>
      <c r="K189" s="3">
        <v>34</v>
      </c>
      <c r="L189" s="2" t="s">
        <v>743</v>
      </c>
      <c r="M189" t="str">
        <f t="shared" si="9"/>
        <v>Mature</v>
      </c>
      <c r="N189" s="2" t="s">
        <v>737</v>
      </c>
      <c r="O189" s="1" t="str">
        <f t="shared" si="10"/>
        <v>High School Or Below</v>
      </c>
      <c r="P189" s="2" t="s">
        <v>735</v>
      </c>
      <c r="Q189" t="str">
        <f t="shared" si="11"/>
        <v>Male</v>
      </c>
    </row>
    <row r="190" spans="1:17" x14ac:dyDescent="0.25">
      <c r="A190" s="1" t="s">
        <v>295</v>
      </c>
      <c r="B190" s="2" t="s">
        <v>11</v>
      </c>
      <c r="C190" s="3">
        <v>800</v>
      </c>
      <c r="D190" s="3">
        <v>15</v>
      </c>
      <c r="E190" s="18">
        <v>42713</v>
      </c>
      <c r="F190" s="18" t="s">
        <v>237</v>
      </c>
      <c r="G190" s="19" t="s">
        <v>296</v>
      </c>
      <c r="I190" s="2" t="s">
        <v>13</v>
      </c>
      <c r="J190" s="1" t="str">
        <f t="shared" si="8"/>
        <v>Current</v>
      </c>
      <c r="K190" s="3">
        <v>28</v>
      </c>
      <c r="L190" s="2" t="s">
        <v>745</v>
      </c>
      <c r="M190" t="str">
        <f t="shared" si="9"/>
        <v>Middle Aged</v>
      </c>
      <c r="N190" s="2" t="s">
        <v>739</v>
      </c>
      <c r="O190" s="1" t="str">
        <f t="shared" si="10"/>
        <v>College</v>
      </c>
      <c r="P190" s="2" t="s">
        <v>735</v>
      </c>
      <c r="Q190" t="str">
        <f t="shared" si="11"/>
        <v>Male</v>
      </c>
    </row>
    <row r="191" spans="1:17" x14ac:dyDescent="0.25">
      <c r="A191" s="1" t="s">
        <v>297</v>
      </c>
      <c r="B191" s="2" t="s">
        <v>11</v>
      </c>
      <c r="C191" s="3">
        <v>800</v>
      </c>
      <c r="D191" s="3">
        <v>15</v>
      </c>
      <c r="E191" s="18">
        <v>42713</v>
      </c>
      <c r="F191" s="18" t="s">
        <v>237</v>
      </c>
      <c r="G191" s="19" t="s">
        <v>238</v>
      </c>
      <c r="I191" s="2" t="s">
        <v>13</v>
      </c>
      <c r="J191" s="1" t="str">
        <f t="shared" si="8"/>
        <v>Current</v>
      </c>
      <c r="K191" s="3">
        <v>42</v>
      </c>
      <c r="L191" s="2" t="s">
        <v>743</v>
      </c>
      <c r="M191" t="str">
        <f t="shared" si="9"/>
        <v>Mature</v>
      </c>
      <c r="N191" s="2" t="s">
        <v>739</v>
      </c>
      <c r="O191" s="1" t="str">
        <f t="shared" si="10"/>
        <v>College</v>
      </c>
      <c r="P191" s="2" t="s">
        <v>735</v>
      </c>
      <c r="Q191" t="str">
        <f t="shared" si="11"/>
        <v>Male</v>
      </c>
    </row>
    <row r="192" spans="1:17" x14ac:dyDescent="0.25">
      <c r="A192" s="1" t="s">
        <v>298</v>
      </c>
      <c r="B192" s="2" t="s">
        <v>11</v>
      </c>
      <c r="C192" s="3">
        <v>1000</v>
      </c>
      <c r="D192" s="3">
        <v>30</v>
      </c>
      <c r="E192" s="18">
        <v>42713</v>
      </c>
      <c r="F192" s="18">
        <v>42684</v>
      </c>
      <c r="G192" s="19" t="s">
        <v>299</v>
      </c>
      <c r="I192" s="2" t="s">
        <v>13</v>
      </c>
      <c r="J192" s="1" t="str">
        <f t="shared" si="8"/>
        <v>Current</v>
      </c>
      <c r="K192" s="3">
        <v>32</v>
      </c>
      <c r="L192" s="2" t="s">
        <v>745</v>
      </c>
      <c r="M192" t="str">
        <f t="shared" si="9"/>
        <v>Middle Aged</v>
      </c>
      <c r="N192" s="2" t="s">
        <v>739</v>
      </c>
      <c r="O192" s="1" t="str">
        <f t="shared" si="10"/>
        <v>College</v>
      </c>
      <c r="P192" s="2" t="s">
        <v>735</v>
      </c>
      <c r="Q192" t="str">
        <f t="shared" si="11"/>
        <v>Male</v>
      </c>
    </row>
    <row r="193" spans="1:17" x14ac:dyDescent="0.25">
      <c r="A193" s="1" t="s">
        <v>300</v>
      </c>
      <c r="B193" s="2" t="s">
        <v>11</v>
      </c>
      <c r="C193" s="3">
        <v>1000</v>
      </c>
      <c r="D193" s="3">
        <v>30</v>
      </c>
      <c r="E193" s="18">
        <v>42713</v>
      </c>
      <c r="F193" s="18">
        <v>42684</v>
      </c>
      <c r="G193" s="19">
        <v>42684.541666666664</v>
      </c>
      <c r="I193" s="2" t="s">
        <v>13</v>
      </c>
      <c r="J193" s="1" t="str">
        <f t="shared" si="8"/>
        <v>Current</v>
      </c>
      <c r="K193" s="3">
        <v>30</v>
      </c>
      <c r="L193" s="2" t="s">
        <v>745</v>
      </c>
      <c r="M193" t="str">
        <f t="shared" si="9"/>
        <v>Middle Aged</v>
      </c>
      <c r="N193" s="2" t="s">
        <v>737</v>
      </c>
      <c r="O193" s="1" t="str">
        <f t="shared" si="10"/>
        <v>High School Or Below</v>
      </c>
      <c r="P193" s="2" t="s">
        <v>735</v>
      </c>
      <c r="Q193" t="str">
        <f t="shared" si="11"/>
        <v>Male</v>
      </c>
    </row>
    <row r="194" spans="1:17" x14ac:dyDescent="0.25">
      <c r="A194" s="1" t="s">
        <v>301</v>
      </c>
      <c r="B194" s="2" t="s">
        <v>11</v>
      </c>
      <c r="C194" s="3">
        <v>1000</v>
      </c>
      <c r="D194" s="3">
        <v>15</v>
      </c>
      <c r="E194" s="18">
        <v>42713</v>
      </c>
      <c r="F194" s="18" t="s">
        <v>237</v>
      </c>
      <c r="G194" s="19" t="s">
        <v>302</v>
      </c>
      <c r="I194" s="2" t="s">
        <v>13</v>
      </c>
      <c r="J194" s="1" t="str">
        <f t="shared" si="8"/>
        <v>Current</v>
      </c>
      <c r="K194" s="3">
        <v>25</v>
      </c>
      <c r="L194" s="2" t="s">
        <v>746</v>
      </c>
      <c r="M194" t="str">
        <f t="shared" si="9"/>
        <v xml:space="preserve"> Young Adults</v>
      </c>
      <c r="N194" s="2" t="s">
        <v>737</v>
      </c>
      <c r="O194" s="1" t="str">
        <f t="shared" si="10"/>
        <v>High School Or Below</v>
      </c>
      <c r="P194" s="2" t="s">
        <v>736</v>
      </c>
      <c r="Q194" t="str">
        <f t="shared" si="11"/>
        <v>Female</v>
      </c>
    </row>
    <row r="195" spans="1:17" x14ac:dyDescent="0.25">
      <c r="A195" s="1" t="s">
        <v>303</v>
      </c>
      <c r="B195" s="2" t="s">
        <v>11</v>
      </c>
      <c r="C195" s="3">
        <v>1000</v>
      </c>
      <c r="D195" s="3">
        <v>30</v>
      </c>
      <c r="E195" s="18">
        <v>42713</v>
      </c>
      <c r="F195" s="18">
        <v>42684</v>
      </c>
      <c r="G195" s="19">
        <v>42684.375</v>
      </c>
      <c r="I195" s="2" t="s">
        <v>13</v>
      </c>
      <c r="J195" s="1" t="str">
        <f t="shared" ref="J195:J258" si="12">IF(H195 = " ", "Current", IF(H195 = 0, "Current", IF(H195 &lt;= 39, "1 - 39 Days", IF(H195 &lt;= 80, "40 - 80 Days"))))</f>
        <v>Current</v>
      </c>
      <c r="K195" s="3">
        <v>27</v>
      </c>
      <c r="L195" s="2" t="s">
        <v>745</v>
      </c>
      <c r="M195" t="str">
        <f t="shared" ref="M195:M258" si="13">IF(K195 &lt;= 25, " Young Adults", IF(K195 &lt;= 33, "Middle Aged", IF(K195 &lt;= 49, "Mature", IF(K195 &lt;= 100, "Old"))))</f>
        <v>Middle Aged</v>
      </c>
      <c r="N195" s="2" t="s">
        <v>737</v>
      </c>
      <c r="O195" s="1" t="str">
        <f t="shared" ref="O195:O258" si="14">PROPER(N195)</f>
        <v>High School Or Below</v>
      </c>
      <c r="P195" s="2" t="s">
        <v>736</v>
      </c>
      <c r="Q195" t="str">
        <f t="shared" ref="Q195:Q258" si="15">PROPER(P195)</f>
        <v>Female</v>
      </c>
    </row>
    <row r="196" spans="1:17" x14ac:dyDescent="0.25">
      <c r="A196" s="1" t="s">
        <v>304</v>
      </c>
      <c r="B196" s="2" t="s">
        <v>11</v>
      </c>
      <c r="C196" s="3">
        <v>800</v>
      </c>
      <c r="D196" s="3">
        <v>15</v>
      </c>
      <c r="E196" s="18">
        <v>42713</v>
      </c>
      <c r="F196" s="18" t="s">
        <v>237</v>
      </c>
      <c r="G196" s="19" t="s">
        <v>305</v>
      </c>
      <c r="I196" s="2" t="s">
        <v>13</v>
      </c>
      <c r="J196" s="1" t="str">
        <f t="shared" si="12"/>
        <v>Current</v>
      </c>
      <c r="K196" s="3">
        <v>21</v>
      </c>
      <c r="L196" s="2" t="s">
        <v>746</v>
      </c>
      <c r="M196" t="str">
        <f t="shared" si="13"/>
        <v xml:space="preserve"> Young Adults</v>
      </c>
      <c r="N196" s="2" t="s">
        <v>739</v>
      </c>
      <c r="O196" s="1" t="str">
        <f t="shared" si="14"/>
        <v>College</v>
      </c>
      <c r="P196" s="2" t="s">
        <v>735</v>
      </c>
      <c r="Q196" t="str">
        <f t="shared" si="15"/>
        <v>Male</v>
      </c>
    </row>
    <row r="197" spans="1:17" x14ac:dyDescent="0.25">
      <c r="A197" s="1" t="s">
        <v>306</v>
      </c>
      <c r="B197" s="2" t="s">
        <v>11</v>
      </c>
      <c r="C197" s="3">
        <v>1000</v>
      </c>
      <c r="D197" s="3">
        <v>30</v>
      </c>
      <c r="E197" s="18">
        <v>42713</v>
      </c>
      <c r="F197" s="18">
        <v>42684</v>
      </c>
      <c r="G197" s="19">
        <v>42653.65902777778</v>
      </c>
      <c r="I197" s="2" t="s">
        <v>13</v>
      </c>
      <c r="J197" s="1" t="str">
        <f t="shared" si="12"/>
        <v>Current</v>
      </c>
      <c r="K197" s="3">
        <v>24</v>
      </c>
      <c r="L197" s="2" t="s">
        <v>746</v>
      </c>
      <c r="M197" t="str">
        <f t="shared" si="13"/>
        <v xml:space="preserve"> Young Adults</v>
      </c>
      <c r="N197" s="2" t="s">
        <v>739</v>
      </c>
      <c r="O197" s="1" t="str">
        <f t="shared" si="14"/>
        <v>College</v>
      </c>
      <c r="P197" s="2" t="s">
        <v>735</v>
      </c>
      <c r="Q197" t="str">
        <f t="shared" si="15"/>
        <v>Male</v>
      </c>
    </row>
    <row r="198" spans="1:17" x14ac:dyDescent="0.25">
      <c r="A198" s="1" t="s">
        <v>307</v>
      </c>
      <c r="B198" s="2" t="s">
        <v>11</v>
      </c>
      <c r="C198" s="3">
        <v>1000</v>
      </c>
      <c r="D198" s="3">
        <v>30</v>
      </c>
      <c r="E198" s="18">
        <v>42713</v>
      </c>
      <c r="F198" s="18">
        <v>42654</v>
      </c>
      <c r="G198" s="19">
        <v>42654.541666666664</v>
      </c>
      <c r="I198" s="2" t="s">
        <v>13</v>
      </c>
      <c r="J198" s="1" t="str">
        <f t="shared" si="12"/>
        <v>Current</v>
      </c>
      <c r="K198" s="3">
        <v>29</v>
      </c>
      <c r="L198" s="2" t="s">
        <v>745</v>
      </c>
      <c r="M198" t="str">
        <f t="shared" si="13"/>
        <v>Middle Aged</v>
      </c>
      <c r="N198" s="2" t="s">
        <v>739</v>
      </c>
      <c r="O198" s="1" t="str">
        <f t="shared" si="14"/>
        <v>College</v>
      </c>
      <c r="P198" s="2" t="s">
        <v>735</v>
      </c>
      <c r="Q198" t="str">
        <f t="shared" si="15"/>
        <v>Male</v>
      </c>
    </row>
    <row r="199" spans="1:17" x14ac:dyDescent="0.25">
      <c r="A199" s="1" t="s">
        <v>308</v>
      </c>
      <c r="B199" s="2" t="s">
        <v>11</v>
      </c>
      <c r="C199" s="3">
        <v>1000</v>
      </c>
      <c r="D199" s="3">
        <v>15</v>
      </c>
      <c r="E199" s="18">
        <v>42713</v>
      </c>
      <c r="F199" s="18" t="s">
        <v>237</v>
      </c>
      <c r="G199" s="19" t="s">
        <v>309</v>
      </c>
      <c r="I199" s="2" t="s">
        <v>13</v>
      </c>
      <c r="J199" s="1" t="str">
        <f t="shared" si="12"/>
        <v>Current</v>
      </c>
      <c r="K199" s="3">
        <v>40</v>
      </c>
      <c r="L199" s="2" t="s">
        <v>743</v>
      </c>
      <c r="M199" t="str">
        <f t="shared" si="13"/>
        <v>Mature</v>
      </c>
      <c r="N199" s="2" t="s">
        <v>739</v>
      </c>
      <c r="O199" s="1" t="str">
        <f t="shared" si="14"/>
        <v>College</v>
      </c>
      <c r="P199" s="2" t="s">
        <v>735</v>
      </c>
      <c r="Q199" t="str">
        <f t="shared" si="15"/>
        <v>Male</v>
      </c>
    </row>
    <row r="200" spans="1:17" x14ac:dyDescent="0.25">
      <c r="A200" s="1" t="s">
        <v>310</v>
      </c>
      <c r="B200" s="2" t="s">
        <v>11</v>
      </c>
      <c r="C200" s="3">
        <v>1000</v>
      </c>
      <c r="D200" s="3">
        <v>30</v>
      </c>
      <c r="E200" s="18">
        <v>42713</v>
      </c>
      <c r="F200" s="18">
        <v>42684</v>
      </c>
      <c r="G200" s="19" t="s">
        <v>311</v>
      </c>
      <c r="I200" s="2" t="s">
        <v>13</v>
      </c>
      <c r="J200" s="1" t="str">
        <f t="shared" si="12"/>
        <v>Current</v>
      </c>
      <c r="K200" s="3">
        <v>29</v>
      </c>
      <c r="L200" s="2" t="s">
        <v>745</v>
      </c>
      <c r="M200" t="str">
        <f t="shared" si="13"/>
        <v>Middle Aged</v>
      </c>
      <c r="N200" s="2" t="s">
        <v>737</v>
      </c>
      <c r="O200" s="1" t="str">
        <f t="shared" si="14"/>
        <v>High School Or Below</v>
      </c>
      <c r="P200" s="2" t="s">
        <v>735</v>
      </c>
      <c r="Q200" t="str">
        <f t="shared" si="15"/>
        <v>Male</v>
      </c>
    </row>
    <row r="201" spans="1:17" x14ac:dyDescent="0.25">
      <c r="A201" s="1" t="s">
        <v>312</v>
      </c>
      <c r="B201" s="2" t="s">
        <v>11</v>
      </c>
      <c r="C201" s="3">
        <v>1000</v>
      </c>
      <c r="D201" s="3">
        <v>30</v>
      </c>
      <c r="E201" s="18">
        <v>42713</v>
      </c>
      <c r="F201" s="18">
        <v>42684</v>
      </c>
      <c r="G201" s="19">
        <v>42623.595138888886</v>
      </c>
      <c r="I201" s="2" t="s">
        <v>13</v>
      </c>
      <c r="J201" s="1" t="str">
        <f t="shared" si="12"/>
        <v>Current</v>
      </c>
      <c r="K201" s="3">
        <v>29</v>
      </c>
      <c r="L201" s="2" t="s">
        <v>745</v>
      </c>
      <c r="M201" t="str">
        <f t="shared" si="13"/>
        <v>Middle Aged</v>
      </c>
      <c r="N201" s="2" t="s">
        <v>739</v>
      </c>
      <c r="O201" s="1" t="str">
        <f t="shared" si="14"/>
        <v>College</v>
      </c>
      <c r="P201" s="2" t="s">
        <v>735</v>
      </c>
      <c r="Q201" t="str">
        <f t="shared" si="15"/>
        <v>Male</v>
      </c>
    </row>
    <row r="202" spans="1:17" x14ac:dyDescent="0.25">
      <c r="A202" s="1" t="s">
        <v>313</v>
      </c>
      <c r="B202" s="2" t="s">
        <v>11</v>
      </c>
      <c r="C202" s="3">
        <v>1000</v>
      </c>
      <c r="D202" s="3">
        <v>15</v>
      </c>
      <c r="E202" s="18">
        <v>42713</v>
      </c>
      <c r="F202" s="18" t="s">
        <v>237</v>
      </c>
      <c r="G202" s="19" t="s">
        <v>314</v>
      </c>
      <c r="I202" s="2" t="s">
        <v>13</v>
      </c>
      <c r="J202" s="1" t="str">
        <f t="shared" si="12"/>
        <v>Current</v>
      </c>
      <c r="K202" s="3">
        <v>30</v>
      </c>
      <c r="L202" s="2" t="s">
        <v>745</v>
      </c>
      <c r="M202" t="str">
        <f t="shared" si="13"/>
        <v>Middle Aged</v>
      </c>
      <c r="N202" s="2" t="s">
        <v>739</v>
      </c>
      <c r="O202" s="1" t="str">
        <f t="shared" si="14"/>
        <v>College</v>
      </c>
      <c r="P202" s="2" t="s">
        <v>735</v>
      </c>
      <c r="Q202" t="str">
        <f t="shared" si="15"/>
        <v>Male</v>
      </c>
    </row>
    <row r="203" spans="1:17" x14ac:dyDescent="0.25">
      <c r="A203" s="1" t="s">
        <v>315</v>
      </c>
      <c r="B203" s="2" t="s">
        <v>11</v>
      </c>
      <c r="C203" s="3">
        <v>1000</v>
      </c>
      <c r="D203" s="3">
        <v>30</v>
      </c>
      <c r="E203" s="18">
        <v>42713</v>
      </c>
      <c r="F203" s="18">
        <v>42684</v>
      </c>
      <c r="G203" s="19">
        <v>42684.958333333336</v>
      </c>
      <c r="I203" s="2" t="s">
        <v>13</v>
      </c>
      <c r="J203" s="1" t="str">
        <f t="shared" si="12"/>
        <v>Current</v>
      </c>
      <c r="K203" s="3">
        <v>26</v>
      </c>
      <c r="L203" s="2" t="s">
        <v>745</v>
      </c>
      <c r="M203" t="str">
        <f t="shared" si="13"/>
        <v>Middle Aged</v>
      </c>
      <c r="N203" s="2" t="s">
        <v>737</v>
      </c>
      <c r="O203" s="1" t="str">
        <f t="shared" si="14"/>
        <v>High School Or Below</v>
      </c>
      <c r="P203" s="2" t="s">
        <v>736</v>
      </c>
      <c r="Q203" t="str">
        <f t="shared" si="15"/>
        <v>Female</v>
      </c>
    </row>
    <row r="204" spans="1:17" x14ac:dyDescent="0.25">
      <c r="A204" s="1" t="s">
        <v>316</v>
      </c>
      <c r="B204" s="2" t="s">
        <v>11</v>
      </c>
      <c r="C204" s="3">
        <v>1000</v>
      </c>
      <c r="D204" s="3">
        <v>15</v>
      </c>
      <c r="E204" s="18">
        <v>42713</v>
      </c>
      <c r="F204" s="18" t="s">
        <v>237</v>
      </c>
      <c r="G204" s="19" t="s">
        <v>317</v>
      </c>
      <c r="I204" s="2" t="s">
        <v>13</v>
      </c>
      <c r="J204" s="1" t="str">
        <f t="shared" si="12"/>
        <v>Current</v>
      </c>
      <c r="K204" s="3">
        <v>36</v>
      </c>
      <c r="L204" s="2" t="s">
        <v>743</v>
      </c>
      <c r="M204" t="str">
        <f t="shared" si="13"/>
        <v>Mature</v>
      </c>
      <c r="N204" s="2" t="s">
        <v>737</v>
      </c>
      <c r="O204" s="1" t="str">
        <f t="shared" si="14"/>
        <v>High School Or Below</v>
      </c>
      <c r="P204" s="2" t="s">
        <v>735</v>
      </c>
      <c r="Q204" t="str">
        <f t="shared" si="15"/>
        <v>Male</v>
      </c>
    </row>
    <row r="205" spans="1:17" x14ac:dyDescent="0.25">
      <c r="A205" s="1" t="s">
        <v>318</v>
      </c>
      <c r="B205" s="2" t="s">
        <v>11</v>
      </c>
      <c r="C205" s="3">
        <v>800</v>
      </c>
      <c r="D205" s="3">
        <v>15</v>
      </c>
      <c r="E205" s="18">
        <v>42713</v>
      </c>
      <c r="F205" s="18" t="s">
        <v>237</v>
      </c>
      <c r="G205" s="19" t="s">
        <v>272</v>
      </c>
      <c r="I205" s="2" t="s">
        <v>13</v>
      </c>
      <c r="J205" s="1" t="str">
        <f t="shared" si="12"/>
        <v>Current</v>
      </c>
      <c r="K205" s="3">
        <v>27</v>
      </c>
      <c r="L205" s="2" t="s">
        <v>745</v>
      </c>
      <c r="M205" t="str">
        <f t="shared" si="13"/>
        <v>Middle Aged</v>
      </c>
      <c r="N205" s="2" t="s">
        <v>739</v>
      </c>
      <c r="O205" s="1" t="str">
        <f t="shared" si="14"/>
        <v>College</v>
      </c>
      <c r="P205" s="2" t="s">
        <v>735</v>
      </c>
      <c r="Q205" t="str">
        <f t="shared" si="15"/>
        <v>Male</v>
      </c>
    </row>
    <row r="206" spans="1:17" x14ac:dyDescent="0.25">
      <c r="A206" s="1" t="s">
        <v>319</v>
      </c>
      <c r="B206" s="2" t="s">
        <v>11</v>
      </c>
      <c r="C206" s="3">
        <v>1000</v>
      </c>
      <c r="D206" s="3">
        <v>30</v>
      </c>
      <c r="E206" s="18">
        <v>42713</v>
      </c>
      <c r="F206" s="18">
        <v>42684</v>
      </c>
      <c r="G206" s="19">
        <v>42684.375694444447</v>
      </c>
      <c r="I206" s="2" t="s">
        <v>13</v>
      </c>
      <c r="J206" s="1" t="str">
        <f t="shared" si="12"/>
        <v>Current</v>
      </c>
      <c r="K206" s="3">
        <v>20</v>
      </c>
      <c r="L206" s="2" t="s">
        <v>746</v>
      </c>
      <c r="M206" t="str">
        <f t="shared" si="13"/>
        <v xml:space="preserve"> Young Adults</v>
      </c>
      <c r="N206" s="2" t="s">
        <v>739</v>
      </c>
      <c r="O206" s="1" t="str">
        <f t="shared" si="14"/>
        <v>College</v>
      </c>
      <c r="P206" s="2" t="s">
        <v>735</v>
      </c>
      <c r="Q206" t="str">
        <f t="shared" si="15"/>
        <v>Male</v>
      </c>
    </row>
    <row r="207" spans="1:17" x14ac:dyDescent="0.25">
      <c r="A207" s="1" t="s">
        <v>320</v>
      </c>
      <c r="B207" s="2" t="s">
        <v>11</v>
      </c>
      <c r="C207" s="3">
        <v>1000</v>
      </c>
      <c r="D207" s="3">
        <v>7</v>
      </c>
      <c r="E207" s="18">
        <v>42713</v>
      </c>
      <c r="F207" s="18" t="s">
        <v>234</v>
      </c>
      <c r="G207" s="19" t="s">
        <v>321</v>
      </c>
      <c r="I207" s="2" t="s">
        <v>13</v>
      </c>
      <c r="J207" s="1" t="str">
        <f t="shared" si="12"/>
        <v>Current</v>
      </c>
      <c r="K207" s="3">
        <v>26</v>
      </c>
      <c r="L207" s="2" t="s">
        <v>745</v>
      </c>
      <c r="M207" t="str">
        <f t="shared" si="13"/>
        <v>Middle Aged</v>
      </c>
      <c r="N207" s="2" t="s">
        <v>738</v>
      </c>
      <c r="O207" s="1" t="str">
        <f t="shared" si="14"/>
        <v>Bachelor</v>
      </c>
      <c r="P207" s="2" t="s">
        <v>736</v>
      </c>
      <c r="Q207" t="str">
        <f t="shared" si="15"/>
        <v>Female</v>
      </c>
    </row>
    <row r="208" spans="1:17" x14ac:dyDescent="0.25">
      <c r="A208" s="1" t="s">
        <v>322</v>
      </c>
      <c r="B208" s="2" t="s">
        <v>11</v>
      </c>
      <c r="C208" s="3">
        <v>1000</v>
      </c>
      <c r="D208" s="3">
        <v>30</v>
      </c>
      <c r="E208" s="18">
        <v>42713</v>
      </c>
      <c r="F208" s="18">
        <v>42654</v>
      </c>
      <c r="G208" s="19">
        <v>42654.541666666664</v>
      </c>
      <c r="I208" s="2" t="s">
        <v>13</v>
      </c>
      <c r="J208" s="1" t="str">
        <f t="shared" si="12"/>
        <v>Current</v>
      </c>
      <c r="K208" s="3">
        <v>26</v>
      </c>
      <c r="L208" s="2" t="s">
        <v>745</v>
      </c>
      <c r="M208" t="str">
        <f t="shared" si="13"/>
        <v>Middle Aged</v>
      </c>
      <c r="N208" s="2" t="s">
        <v>739</v>
      </c>
      <c r="O208" s="1" t="str">
        <f t="shared" si="14"/>
        <v>College</v>
      </c>
      <c r="P208" s="2" t="s">
        <v>735</v>
      </c>
      <c r="Q208" t="str">
        <f t="shared" si="15"/>
        <v>Male</v>
      </c>
    </row>
    <row r="209" spans="1:17" x14ac:dyDescent="0.25">
      <c r="A209" s="1" t="s">
        <v>323</v>
      </c>
      <c r="B209" s="2" t="s">
        <v>11</v>
      </c>
      <c r="C209" s="3">
        <v>1000</v>
      </c>
      <c r="D209" s="3">
        <v>30</v>
      </c>
      <c r="E209" s="18">
        <v>42713</v>
      </c>
      <c r="F209" s="18">
        <v>42684</v>
      </c>
      <c r="G209" s="19">
        <v>42623.416666666664</v>
      </c>
      <c r="I209" s="2" t="s">
        <v>13</v>
      </c>
      <c r="J209" s="1" t="str">
        <f t="shared" si="12"/>
        <v>Current</v>
      </c>
      <c r="K209" s="3">
        <v>27</v>
      </c>
      <c r="L209" s="2" t="s">
        <v>745</v>
      </c>
      <c r="M209" t="str">
        <f t="shared" si="13"/>
        <v>Middle Aged</v>
      </c>
      <c r="N209" s="2" t="s">
        <v>739</v>
      </c>
      <c r="O209" s="1" t="str">
        <f t="shared" si="14"/>
        <v>College</v>
      </c>
      <c r="P209" s="2" t="s">
        <v>735</v>
      </c>
      <c r="Q209" t="str">
        <f t="shared" si="15"/>
        <v>Male</v>
      </c>
    </row>
    <row r="210" spans="1:17" x14ac:dyDescent="0.25">
      <c r="A210" s="1" t="s">
        <v>324</v>
      </c>
      <c r="B210" s="2" t="s">
        <v>11</v>
      </c>
      <c r="C210" s="3">
        <v>300</v>
      </c>
      <c r="D210" s="3">
        <v>7</v>
      </c>
      <c r="E210" s="18">
        <v>42713</v>
      </c>
      <c r="F210" s="18" t="s">
        <v>234</v>
      </c>
      <c r="G210" s="19">
        <v>42713.611111111109</v>
      </c>
      <c r="I210" s="2" t="s">
        <v>13</v>
      </c>
      <c r="J210" s="1" t="str">
        <f t="shared" si="12"/>
        <v>Current</v>
      </c>
      <c r="K210" s="3">
        <v>23</v>
      </c>
      <c r="L210" s="2" t="s">
        <v>746</v>
      </c>
      <c r="M210" t="str">
        <f t="shared" si="13"/>
        <v xml:space="preserve"> Young Adults</v>
      </c>
      <c r="N210" s="2" t="s">
        <v>737</v>
      </c>
      <c r="O210" s="1" t="str">
        <f t="shared" si="14"/>
        <v>High School Or Below</v>
      </c>
      <c r="P210" s="2" t="s">
        <v>735</v>
      </c>
      <c r="Q210" t="str">
        <f t="shared" si="15"/>
        <v>Male</v>
      </c>
    </row>
    <row r="211" spans="1:17" x14ac:dyDescent="0.25">
      <c r="A211" s="1" t="s">
        <v>325</v>
      </c>
      <c r="B211" s="2" t="s">
        <v>11</v>
      </c>
      <c r="C211" s="3">
        <v>1000</v>
      </c>
      <c r="D211" s="3">
        <v>30</v>
      </c>
      <c r="E211" s="18">
        <v>42713</v>
      </c>
      <c r="F211" s="18">
        <v>42684</v>
      </c>
      <c r="G211" s="19">
        <v>42684.666666666664</v>
      </c>
      <c r="I211" s="2" t="s">
        <v>13</v>
      </c>
      <c r="J211" s="1" t="str">
        <f t="shared" si="12"/>
        <v>Current</v>
      </c>
      <c r="K211" s="3">
        <v>39</v>
      </c>
      <c r="L211" s="2" t="s">
        <v>743</v>
      </c>
      <c r="M211" t="str">
        <f t="shared" si="13"/>
        <v>Mature</v>
      </c>
      <c r="N211" s="2" t="s">
        <v>737</v>
      </c>
      <c r="O211" s="1" t="str">
        <f t="shared" si="14"/>
        <v>High School Or Below</v>
      </c>
      <c r="P211" s="2" t="s">
        <v>735</v>
      </c>
      <c r="Q211" t="str">
        <f t="shared" si="15"/>
        <v>Male</v>
      </c>
    </row>
    <row r="212" spans="1:17" x14ac:dyDescent="0.25">
      <c r="A212" s="1" t="s">
        <v>326</v>
      </c>
      <c r="B212" s="2" t="s">
        <v>11</v>
      </c>
      <c r="C212" s="3">
        <v>1000</v>
      </c>
      <c r="D212" s="3">
        <v>15</v>
      </c>
      <c r="E212" s="18">
        <v>42713</v>
      </c>
      <c r="F212" s="18" t="s">
        <v>237</v>
      </c>
      <c r="G212" s="19" t="s">
        <v>327</v>
      </c>
      <c r="I212" s="2" t="s">
        <v>13</v>
      </c>
      <c r="J212" s="1" t="str">
        <f t="shared" si="12"/>
        <v>Current</v>
      </c>
      <c r="K212" s="3">
        <v>27</v>
      </c>
      <c r="L212" s="2" t="s">
        <v>745</v>
      </c>
      <c r="M212" t="str">
        <f t="shared" si="13"/>
        <v>Middle Aged</v>
      </c>
      <c r="N212" s="2" t="s">
        <v>737</v>
      </c>
      <c r="O212" s="1" t="str">
        <f t="shared" si="14"/>
        <v>High School Or Below</v>
      </c>
      <c r="P212" s="2" t="s">
        <v>735</v>
      </c>
      <c r="Q212" t="str">
        <f t="shared" si="15"/>
        <v>Male</v>
      </c>
    </row>
    <row r="213" spans="1:17" x14ac:dyDescent="0.25">
      <c r="A213" s="1" t="s">
        <v>328</v>
      </c>
      <c r="B213" s="2" t="s">
        <v>11</v>
      </c>
      <c r="C213" s="3">
        <v>1000</v>
      </c>
      <c r="D213" s="3">
        <v>30</v>
      </c>
      <c r="E213" s="18">
        <v>42713</v>
      </c>
      <c r="F213" s="18">
        <v>42684</v>
      </c>
      <c r="G213" s="19">
        <v>42592.783333333333</v>
      </c>
      <c r="I213" s="2" t="s">
        <v>13</v>
      </c>
      <c r="J213" s="1" t="str">
        <f t="shared" si="12"/>
        <v>Current</v>
      </c>
      <c r="K213" s="3">
        <v>30</v>
      </c>
      <c r="L213" s="2" t="s">
        <v>745</v>
      </c>
      <c r="M213" t="str">
        <f t="shared" si="13"/>
        <v>Middle Aged</v>
      </c>
      <c r="N213" s="2" t="s">
        <v>737</v>
      </c>
      <c r="O213" s="1" t="str">
        <f t="shared" si="14"/>
        <v>High School Or Below</v>
      </c>
      <c r="P213" s="2" t="s">
        <v>735</v>
      </c>
      <c r="Q213" t="str">
        <f t="shared" si="15"/>
        <v>Male</v>
      </c>
    </row>
    <row r="214" spans="1:17" x14ac:dyDescent="0.25">
      <c r="A214" s="1" t="s">
        <v>329</v>
      </c>
      <c r="B214" s="2" t="s">
        <v>11</v>
      </c>
      <c r="C214" s="3">
        <v>1000</v>
      </c>
      <c r="D214" s="3">
        <v>30</v>
      </c>
      <c r="E214" s="18">
        <v>42713</v>
      </c>
      <c r="F214" s="18">
        <v>42684</v>
      </c>
      <c r="G214" s="19">
        <v>42653.695138888892</v>
      </c>
      <c r="I214" s="2" t="s">
        <v>13</v>
      </c>
      <c r="J214" s="1" t="str">
        <f t="shared" si="12"/>
        <v>Current</v>
      </c>
      <c r="K214" s="3">
        <v>33</v>
      </c>
      <c r="L214" s="2" t="s">
        <v>745</v>
      </c>
      <c r="M214" t="str">
        <f t="shared" si="13"/>
        <v>Middle Aged</v>
      </c>
      <c r="N214" s="2" t="s">
        <v>737</v>
      </c>
      <c r="O214" s="1" t="str">
        <f t="shared" si="14"/>
        <v>High School Or Below</v>
      </c>
      <c r="P214" s="2" t="s">
        <v>736</v>
      </c>
      <c r="Q214" t="str">
        <f t="shared" si="15"/>
        <v>Female</v>
      </c>
    </row>
    <row r="215" spans="1:17" x14ac:dyDescent="0.25">
      <c r="A215" s="1" t="s">
        <v>330</v>
      </c>
      <c r="B215" s="2" t="s">
        <v>11</v>
      </c>
      <c r="C215" s="3">
        <v>1000</v>
      </c>
      <c r="D215" s="3">
        <v>30</v>
      </c>
      <c r="E215" s="18">
        <v>42713</v>
      </c>
      <c r="F215" s="18">
        <v>42684</v>
      </c>
      <c r="G215" s="19">
        <v>42684.542361111111</v>
      </c>
      <c r="I215" s="2" t="s">
        <v>13</v>
      </c>
      <c r="J215" s="1" t="str">
        <f t="shared" si="12"/>
        <v>Current</v>
      </c>
      <c r="K215" s="3">
        <v>27</v>
      </c>
      <c r="L215" s="2" t="s">
        <v>745</v>
      </c>
      <c r="M215" t="str">
        <f t="shared" si="13"/>
        <v>Middle Aged</v>
      </c>
      <c r="N215" s="2" t="s">
        <v>737</v>
      </c>
      <c r="O215" s="1" t="str">
        <f t="shared" si="14"/>
        <v>High School Or Below</v>
      </c>
      <c r="P215" s="2" t="s">
        <v>735</v>
      </c>
      <c r="Q215" t="str">
        <f t="shared" si="15"/>
        <v>Male</v>
      </c>
    </row>
    <row r="216" spans="1:17" x14ac:dyDescent="0.25">
      <c r="A216" s="1" t="s">
        <v>331</v>
      </c>
      <c r="B216" s="2" t="s">
        <v>11</v>
      </c>
      <c r="C216" s="3">
        <v>1000</v>
      </c>
      <c r="D216" s="3">
        <v>30</v>
      </c>
      <c r="E216" s="18">
        <v>42713</v>
      </c>
      <c r="F216" s="18">
        <v>42684</v>
      </c>
      <c r="G216" s="19" t="s">
        <v>332</v>
      </c>
      <c r="I216" s="2" t="s">
        <v>13</v>
      </c>
      <c r="J216" s="1" t="str">
        <f t="shared" si="12"/>
        <v>Current</v>
      </c>
      <c r="K216" s="3">
        <v>35</v>
      </c>
      <c r="L216" s="2" t="s">
        <v>743</v>
      </c>
      <c r="M216" t="str">
        <f t="shared" si="13"/>
        <v>Mature</v>
      </c>
      <c r="N216" s="2" t="s">
        <v>737</v>
      </c>
      <c r="O216" s="1" t="str">
        <f t="shared" si="14"/>
        <v>High School Or Below</v>
      </c>
      <c r="P216" s="2" t="s">
        <v>735</v>
      </c>
      <c r="Q216" t="str">
        <f t="shared" si="15"/>
        <v>Male</v>
      </c>
    </row>
    <row r="217" spans="1:17" x14ac:dyDescent="0.25">
      <c r="A217" s="1" t="s">
        <v>333</v>
      </c>
      <c r="B217" s="2" t="s">
        <v>11</v>
      </c>
      <c r="C217" s="3">
        <v>1000</v>
      </c>
      <c r="D217" s="3">
        <v>30</v>
      </c>
      <c r="E217" s="18">
        <v>42713</v>
      </c>
      <c r="F217" s="18">
        <v>42654</v>
      </c>
      <c r="G217" s="19">
        <v>42654.666666666664</v>
      </c>
      <c r="I217" s="2" t="s">
        <v>13</v>
      </c>
      <c r="J217" s="1" t="str">
        <f t="shared" si="12"/>
        <v>Current</v>
      </c>
      <c r="K217" s="3">
        <v>29</v>
      </c>
      <c r="L217" s="2" t="s">
        <v>745</v>
      </c>
      <c r="M217" t="str">
        <f t="shared" si="13"/>
        <v>Middle Aged</v>
      </c>
      <c r="N217" s="2" t="s">
        <v>739</v>
      </c>
      <c r="O217" s="1" t="str">
        <f t="shared" si="14"/>
        <v>College</v>
      </c>
      <c r="P217" s="2" t="s">
        <v>736</v>
      </c>
      <c r="Q217" t="str">
        <f t="shared" si="15"/>
        <v>Female</v>
      </c>
    </row>
    <row r="218" spans="1:17" x14ac:dyDescent="0.25">
      <c r="A218" s="1" t="s">
        <v>334</v>
      </c>
      <c r="B218" s="2" t="s">
        <v>11</v>
      </c>
      <c r="C218" s="3">
        <v>1000</v>
      </c>
      <c r="D218" s="3">
        <v>15</v>
      </c>
      <c r="E218" s="18">
        <v>42713</v>
      </c>
      <c r="F218" s="18" t="s">
        <v>237</v>
      </c>
      <c r="G218" s="19" t="s">
        <v>335</v>
      </c>
      <c r="I218" s="2" t="s">
        <v>13</v>
      </c>
      <c r="J218" s="1" t="str">
        <f t="shared" si="12"/>
        <v>Current</v>
      </c>
      <c r="K218" s="3">
        <v>50</v>
      </c>
      <c r="L218" s="2" t="s">
        <v>744</v>
      </c>
      <c r="M218" t="str">
        <f t="shared" si="13"/>
        <v>Old</v>
      </c>
      <c r="N218" s="2" t="s">
        <v>737</v>
      </c>
      <c r="O218" s="1" t="str">
        <f t="shared" si="14"/>
        <v>High School Or Below</v>
      </c>
      <c r="P218" s="2" t="s">
        <v>735</v>
      </c>
      <c r="Q218" t="str">
        <f t="shared" si="15"/>
        <v>Male</v>
      </c>
    </row>
    <row r="219" spans="1:17" x14ac:dyDescent="0.25">
      <c r="A219" s="1" t="s">
        <v>336</v>
      </c>
      <c r="B219" s="2" t="s">
        <v>11</v>
      </c>
      <c r="C219" s="3">
        <v>800</v>
      </c>
      <c r="D219" s="3">
        <v>15</v>
      </c>
      <c r="E219" s="18">
        <v>42713</v>
      </c>
      <c r="F219" s="18" t="s">
        <v>237</v>
      </c>
      <c r="G219" s="19" t="s">
        <v>238</v>
      </c>
      <c r="I219" s="2" t="s">
        <v>13</v>
      </c>
      <c r="J219" s="1" t="str">
        <f t="shared" si="12"/>
        <v>Current</v>
      </c>
      <c r="K219" s="3">
        <v>31</v>
      </c>
      <c r="L219" s="2" t="s">
        <v>745</v>
      </c>
      <c r="M219" t="str">
        <f t="shared" si="13"/>
        <v>Middle Aged</v>
      </c>
      <c r="N219" s="2" t="s">
        <v>737</v>
      </c>
      <c r="O219" s="1" t="str">
        <f t="shared" si="14"/>
        <v>High School Or Below</v>
      </c>
      <c r="P219" s="2" t="s">
        <v>736</v>
      </c>
      <c r="Q219" t="str">
        <f t="shared" si="15"/>
        <v>Female</v>
      </c>
    </row>
    <row r="220" spans="1:17" x14ac:dyDescent="0.25">
      <c r="A220" s="1" t="s">
        <v>337</v>
      </c>
      <c r="B220" s="2" t="s">
        <v>11</v>
      </c>
      <c r="C220" s="3">
        <v>1000</v>
      </c>
      <c r="D220" s="3">
        <v>15</v>
      </c>
      <c r="E220" s="18">
        <v>42713</v>
      </c>
      <c r="F220" s="18" t="s">
        <v>237</v>
      </c>
      <c r="G220" s="19" t="s">
        <v>269</v>
      </c>
      <c r="I220" s="2" t="s">
        <v>13</v>
      </c>
      <c r="J220" s="1" t="str">
        <f t="shared" si="12"/>
        <v>Current</v>
      </c>
      <c r="K220" s="3">
        <v>31</v>
      </c>
      <c r="L220" s="2" t="s">
        <v>745</v>
      </c>
      <c r="M220" t="str">
        <f t="shared" si="13"/>
        <v>Middle Aged</v>
      </c>
      <c r="N220" s="2" t="s">
        <v>737</v>
      </c>
      <c r="O220" s="1" t="str">
        <f t="shared" si="14"/>
        <v>High School Or Below</v>
      </c>
      <c r="P220" s="2" t="s">
        <v>735</v>
      </c>
      <c r="Q220" t="str">
        <f t="shared" si="15"/>
        <v>Male</v>
      </c>
    </row>
    <row r="221" spans="1:17" x14ac:dyDescent="0.25">
      <c r="A221" s="1" t="s">
        <v>338</v>
      </c>
      <c r="B221" s="2" t="s">
        <v>11</v>
      </c>
      <c r="C221" s="3">
        <v>1000</v>
      </c>
      <c r="D221" s="3">
        <v>30</v>
      </c>
      <c r="E221" s="18">
        <v>42713</v>
      </c>
      <c r="F221" s="18">
        <v>42684</v>
      </c>
      <c r="G221" s="19">
        <v>42684.542361111111</v>
      </c>
      <c r="I221" s="2" t="s">
        <v>13</v>
      </c>
      <c r="J221" s="1" t="str">
        <f t="shared" si="12"/>
        <v>Current</v>
      </c>
      <c r="K221" s="3">
        <v>29</v>
      </c>
      <c r="L221" s="2" t="s">
        <v>745</v>
      </c>
      <c r="M221" t="str">
        <f t="shared" si="13"/>
        <v>Middle Aged</v>
      </c>
      <c r="N221" s="2" t="s">
        <v>737</v>
      </c>
      <c r="O221" s="1" t="str">
        <f t="shared" si="14"/>
        <v>High School Or Below</v>
      </c>
      <c r="P221" s="2" t="s">
        <v>735</v>
      </c>
      <c r="Q221" t="str">
        <f t="shared" si="15"/>
        <v>Male</v>
      </c>
    </row>
    <row r="222" spans="1:17" x14ac:dyDescent="0.25">
      <c r="A222" s="1" t="s">
        <v>339</v>
      </c>
      <c r="B222" s="2" t="s">
        <v>11</v>
      </c>
      <c r="C222" s="3">
        <v>1000</v>
      </c>
      <c r="D222" s="3">
        <v>15</v>
      </c>
      <c r="E222" s="18">
        <v>42713</v>
      </c>
      <c r="F222" s="18" t="s">
        <v>237</v>
      </c>
      <c r="G222" s="19" t="s">
        <v>340</v>
      </c>
      <c r="I222" s="2" t="s">
        <v>13</v>
      </c>
      <c r="J222" s="1" t="str">
        <f t="shared" si="12"/>
        <v>Current</v>
      </c>
      <c r="K222" s="3">
        <v>35</v>
      </c>
      <c r="L222" s="2" t="s">
        <v>743</v>
      </c>
      <c r="M222" t="str">
        <f t="shared" si="13"/>
        <v>Mature</v>
      </c>
      <c r="N222" s="2" t="s">
        <v>739</v>
      </c>
      <c r="O222" s="1" t="str">
        <f t="shared" si="14"/>
        <v>College</v>
      </c>
      <c r="P222" s="2" t="s">
        <v>735</v>
      </c>
      <c r="Q222" t="str">
        <f t="shared" si="15"/>
        <v>Male</v>
      </c>
    </row>
    <row r="223" spans="1:17" x14ac:dyDescent="0.25">
      <c r="A223" s="1" t="s">
        <v>341</v>
      </c>
      <c r="B223" s="2" t="s">
        <v>11</v>
      </c>
      <c r="C223" s="3">
        <v>1000</v>
      </c>
      <c r="D223" s="3">
        <v>30</v>
      </c>
      <c r="E223" s="18">
        <v>42713</v>
      </c>
      <c r="F223" s="18">
        <v>42684</v>
      </c>
      <c r="G223" s="19">
        <v>42684.375694444447</v>
      </c>
      <c r="I223" s="2" t="s">
        <v>13</v>
      </c>
      <c r="J223" s="1" t="str">
        <f t="shared" si="12"/>
        <v>Current</v>
      </c>
      <c r="K223" s="3">
        <v>39</v>
      </c>
      <c r="L223" s="2" t="s">
        <v>743</v>
      </c>
      <c r="M223" t="str">
        <f t="shared" si="13"/>
        <v>Mature</v>
      </c>
      <c r="N223" s="2" t="s">
        <v>739</v>
      </c>
      <c r="O223" s="1" t="str">
        <f t="shared" si="14"/>
        <v>College</v>
      </c>
      <c r="P223" s="2" t="s">
        <v>735</v>
      </c>
      <c r="Q223" t="str">
        <f t="shared" si="15"/>
        <v>Male</v>
      </c>
    </row>
    <row r="224" spans="1:17" x14ac:dyDescent="0.25">
      <c r="A224" s="1" t="s">
        <v>342</v>
      </c>
      <c r="B224" s="2" t="s">
        <v>11</v>
      </c>
      <c r="C224" s="3">
        <v>1000</v>
      </c>
      <c r="D224" s="3">
        <v>30</v>
      </c>
      <c r="E224" s="18">
        <v>42713</v>
      </c>
      <c r="F224" s="18">
        <v>42654</v>
      </c>
      <c r="G224" s="19">
        <v>42654.541666666664</v>
      </c>
      <c r="I224" s="2" t="s">
        <v>13</v>
      </c>
      <c r="J224" s="1" t="str">
        <f t="shared" si="12"/>
        <v>Current</v>
      </c>
      <c r="K224" s="3">
        <v>29</v>
      </c>
      <c r="L224" s="2" t="s">
        <v>745</v>
      </c>
      <c r="M224" t="str">
        <f t="shared" si="13"/>
        <v>Middle Aged</v>
      </c>
      <c r="N224" s="2" t="s">
        <v>739</v>
      </c>
      <c r="O224" s="1" t="str">
        <f t="shared" si="14"/>
        <v>College</v>
      </c>
      <c r="P224" s="2" t="s">
        <v>735</v>
      </c>
      <c r="Q224" t="str">
        <f t="shared" si="15"/>
        <v>Male</v>
      </c>
    </row>
    <row r="225" spans="1:17" x14ac:dyDescent="0.25">
      <c r="A225" s="1" t="s">
        <v>343</v>
      </c>
      <c r="B225" s="2" t="s">
        <v>11</v>
      </c>
      <c r="C225" s="3">
        <v>1000</v>
      </c>
      <c r="D225" s="3">
        <v>15</v>
      </c>
      <c r="E225" s="18">
        <v>42713</v>
      </c>
      <c r="F225" s="18" t="s">
        <v>237</v>
      </c>
      <c r="G225" s="19" t="s">
        <v>340</v>
      </c>
      <c r="I225" s="2" t="s">
        <v>13</v>
      </c>
      <c r="J225" s="1" t="str">
        <f t="shared" si="12"/>
        <v>Current</v>
      </c>
      <c r="K225" s="3">
        <v>30</v>
      </c>
      <c r="L225" s="2" t="s">
        <v>745</v>
      </c>
      <c r="M225" t="str">
        <f t="shared" si="13"/>
        <v>Middle Aged</v>
      </c>
      <c r="N225" s="2" t="s">
        <v>737</v>
      </c>
      <c r="O225" s="1" t="str">
        <f t="shared" si="14"/>
        <v>High School Or Below</v>
      </c>
      <c r="P225" s="2" t="s">
        <v>735</v>
      </c>
      <c r="Q225" t="str">
        <f t="shared" si="15"/>
        <v>Male</v>
      </c>
    </row>
    <row r="226" spans="1:17" x14ac:dyDescent="0.25">
      <c r="A226" s="1" t="s">
        <v>344</v>
      </c>
      <c r="B226" s="2" t="s">
        <v>11</v>
      </c>
      <c r="C226" s="3">
        <v>1000</v>
      </c>
      <c r="D226" s="3">
        <v>30</v>
      </c>
      <c r="E226" s="18">
        <v>42713</v>
      </c>
      <c r="F226" s="18">
        <v>42684</v>
      </c>
      <c r="G226" s="19">
        <v>42623.416666666664</v>
      </c>
      <c r="I226" s="2" t="s">
        <v>13</v>
      </c>
      <c r="J226" s="1" t="str">
        <f t="shared" si="12"/>
        <v>Current</v>
      </c>
      <c r="K226" s="3">
        <v>33</v>
      </c>
      <c r="L226" s="2" t="s">
        <v>745</v>
      </c>
      <c r="M226" t="str">
        <f t="shared" si="13"/>
        <v>Middle Aged</v>
      </c>
      <c r="N226" s="2" t="s">
        <v>738</v>
      </c>
      <c r="O226" s="1" t="str">
        <f t="shared" si="14"/>
        <v>Bachelor</v>
      </c>
      <c r="P226" s="2" t="s">
        <v>735</v>
      </c>
      <c r="Q226" t="str">
        <f t="shared" si="15"/>
        <v>Male</v>
      </c>
    </row>
    <row r="227" spans="1:17" x14ac:dyDescent="0.25">
      <c r="A227" s="1" t="s">
        <v>345</v>
      </c>
      <c r="B227" s="2" t="s">
        <v>11</v>
      </c>
      <c r="C227" s="3">
        <v>1000</v>
      </c>
      <c r="D227" s="3">
        <v>30</v>
      </c>
      <c r="E227" s="18">
        <v>42713</v>
      </c>
      <c r="F227" s="18">
        <v>42684</v>
      </c>
      <c r="G227" s="19">
        <v>42684.542361111111</v>
      </c>
      <c r="I227" s="2" t="s">
        <v>13</v>
      </c>
      <c r="J227" s="1" t="str">
        <f t="shared" si="12"/>
        <v>Current</v>
      </c>
      <c r="K227" s="3">
        <v>26</v>
      </c>
      <c r="L227" s="2" t="s">
        <v>745</v>
      </c>
      <c r="M227" t="str">
        <f t="shared" si="13"/>
        <v>Middle Aged</v>
      </c>
      <c r="N227" s="2" t="s">
        <v>737</v>
      </c>
      <c r="O227" s="1" t="str">
        <f t="shared" si="14"/>
        <v>High School Or Below</v>
      </c>
      <c r="P227" s="2" t="s">
        <v>735</v>
      </c>
      <c r="Q227" t="str">
        <f t="shared" si="15"/>
        <v>Male</v>
      </c>
    </row>
    <row r="228" spans="1:17" x14ac:dyDescent="0.25">
      <c r="A228" s="1" t="s">
        <v>346</v>
      </c>
      <c r="B228" s="2" t="s">
        <v>11</v>
      </c>
      <c r="C228" s="3">
        <v>1000</v>
      </c>
      <c r="D228" s="3">
        <v>15</v>
      </c>
      <c r="E228" s="18">
        <v>42713</v>
      </c>
      <c r="F228" s="18" t="s">
        <v>237</v>
      </c>
      <c r="G228" s="19" t="s">
        <v>347</v>
      </c>
      <c r="I228" s="2" t="s">
        <v>13</v>
      </c>
      <c r="J228" s="1" t="str">
        <f t="shared" si="12"/>
        <v>Current</v>
      </c>
      <c r="K228" s="3">
        <v>25</v>
      </c>
      <c r="L228" s="2" t="s">
        <v>746</v>
      </c>
      <c r="M228" t="str">
        <f t="shared" si="13"/>
        <v xml:space="preserve"> Young Adults</v>
      </c>
      <c r="N228" s="2" t="s">
        <v>737</v>
      </c>
      <c r="O228" s="1" t="str">
        <f t="shared" si="14"/>
        <v>High School Or Below</v>
      </c>
      <c r="P228" s="2" t="s">
        <v>735</v>
      </c>
      <c r="Q228" t="str">
        <f t="shared" si="15"/>
        <v>Male</v>
      </c>
    </row>
    <row r="229" spans="1:17" x14ac:dyDescent="0.25">
      <c r="A229" s="1" t="s">
        <v>348</v>
      </c>
      <c r="B229" s="2" t="s">
        <v>11</v>
      </c>
      <c r="C229" s="3">
        <v>800</v>
      </c>
      <c r="D229" s="3">
        <v>15</v>
      </c>
      <c r="E229" s="18">
        <v>42713</v>
      </c>
      <c r="F229" s="18" t="s">
        <v>237</v>
      </c>
      <c r="G229" s="19" t="s">
        <v>349</v>
      </c>
      <c r="I229" s="2" t="s">
        <v>13</v>
      </c>
      <c r="J229" s="1" t="str">
        <f t="shared" si="12"/>
        <v>Current</v>
      </c>
      <c r="K229" s="3">
        <v>37</v>
      </c>
      <c r="L229" s="2" t="s">
        <v>743</v>
      </c>
      <c r="M229" t="str">
        <f t="shared" si="13"/>
        <v>Mature</v>
      </c>
      <c r="N229" s="2" t="s">
        <v>738</v>
      </c>
      <c r="O229" s="1" t="str">
        <f t="shared" si="14"/>
        <v>Bachelor</v>
      </c>
      <c r="P229" s="2" t="s">
        <v>735</v>
      </c>
      <c r="Q229" t="str">
        <f t="shared" si="15"/>
        <v>Male</v>
      </c>
    </row>
    <row r="230" spans="1:17" x14ac:dyDescent="0.25">
      <c r="A230" s="1" t="s">
        <v>350</v>
      </c>
      <c r="B230" s="2" t="s">
        <v>11</v>
      </c>
      <c r="C230" s="3">
        <v>800</v>
      </c>
      <c r="D230" s="3">
        <v>15</v>
      </c>
      <c r="E230" s="18">
        <v>42713</v>
      </c>
      <c r="F230" s="18" t="s">
        <v>237</v>
      </c>
      <c r="G230" s="19" t="s">
        <v>351</v>
      </c>
      <c r="I230" s="2" t="s">
        <v>13</v>
      </c>
      <c r="J230" s="1" t="str">
        <f t="shared" si="12"/>
        <v>Current</v>
      </c>
      <c r="K230" s="3">
        <v>26</v>
      </c>
      <c r="L230" s="2" t="s">
        <v>745</v>
      </c>
      <c r="M230" t="str">
        <f t="shared" si="13"/>
        <v>Middle Aged</v>
      </c>
      <c r="N230" s="2" t="s">
        <v>737</v>
      </c>
      <c r="O230" s="1" t="str">
        <f t="shared" si="14"/>
        <v>High School Or Below</v>
      </c>
      <c r="P230" s="2" t="s">
        <v>735</v>
      </c>
      <c r="Q230" t="str">
        <f t="shared" si="15"/>
        <v>Male</v>
      </c>
    </row>
    <row r="231" spans="1:17" x14ac:dyDescent="0.25">
      <c r="A231" s="1" t="s">
        <v>352</v>
      </c>
      <c r="B231" s="2" t="s">
        <v>11</v>
      </c>
      <c r="C231" s="3">
        <v>800</v>
      </c>
      <c r="D231" s="3">
        <v>15</v>
      </c>
      <c r="E231" s="18">
        <v>42713</v>
      </c>
      <c r="F231" s="18" t="s">
        <v>237</v>
      </c>
      <c r="G231" s="19" t="s">
        <v>238</v>
      </c>
      <c r="I231" s="2" t="s">
        <v>13</v>
      </c>
      <c r="J231" s="1" t="str">
        <f t="shared" si="12"/>
        <v>Current</v>
      </c>
      <c r="K231" s="3">
        <v>26</v>
      </c>
      <c r="L231" s="2" t="s">
        <v>745</v>
      </c>
      <c r="M231" t="str">
        <f t="shared" si="13"/>
        <v>Middle Aged</v>
      </c>
      <c r="N231" s="2" t="s">
        <v>739</v>
      </c>
      <c r="O231" s="1" t="str">
        <f t="shared" si="14"/>
        <v>College</v>
      </c>
      <c r="P231" s="2" t="s">
        <v>735</v>
      </c>
      <c r="Q231" t="str">
        <f t="shared" si="15"/>
        <v>Male</v>
      </c>
    </row>
    <row r="232" spans="1:17" x14ac:dyDescent="0.25">
      <c r="A232" s="1" t="s">
        <v>353</v>
      </c>
      <c r="B232" s="2" t="s">
        <v>11</v>
      </c>
      <c r="C232" s="3">
        <v>1000</v>
      </c>
      <c r="D232" s="3">
        <v>15</v>
      </c>
      <c r="E232" s="18">
        <v>42713</v>
      </c>
      <c r="F232" s="18" t="s">
        <v>242</v>
      </c>
      <c r="G232" s="19" t="s">
        <v>243</v>
      </c>
      <c r="I232" s="2" t="s">
        <v>13</v>
      </c>
      <c r="J232" s="1" t="str">
        <f t="shared" si="12"/>
        <v>Current</v>
      </c>
      <c r="K232" s="3">
        <v>27</v>
      </c>
      <c r="L232" s="2" t="s">
        <v>745</v>
      </c>
      <c r="M232" t="str">
        <f t="shared" si="13"/>
        <v>Middle Aged</v>
      </c>
      <c r="N232" s="2" t="s">
        <v>739</v>
      </c>
      <c r="O232" s="1" t="str">
        <f t="shared" si="14"/>
        <v>College</v>
      </c>
      <c r="P232" s="2" t="s">
        <v>735</v>
      </c>
      <c r="Q232" t="str">
        <f t="shared" si="15"/>
        <v>Male</v>
      </c>
    </row>
    <row r="233" spans="1:17" x14ac:dyDescent="0.25">
      <c r="A233" s="1" t="s">
        <v>354</v>
      </c>
      <c r="B233" s="2" t="s">
        <v>11</v>
      </c>
      <c r="C233" s="3">
        <v>1000</v>
      </c>
      <c r="D233" s="3">
        <v>7</v>
      </c>
      <c r="E233" s="18">
        <v>42713</v>
      </c>
      <c r="F233" s="18" t="s">
        <v>63</v>
      </c>
      <c r="G233" s="19" t="s">
        <v>223</v>
      </c>
      <c r="I233" s="2" t="s">
        <v>13</v>
      </c>
      <c r="J233" s="1" t="str">
        <f t="shared" si="12"/>
        <v>Current</v>
      </c>
      <c r="K233" s="3">
        <v>34</v>
      </c>
      <c r="L233" s="2" t="s">
        <v>743</v>
      </c>
      <c r="M233" t="str">
        <f t="shared" si="13"/>
        <v>Mature</v>
      </c>
      <c r="N233" s="2" t="s">
        <v>739</v>
      </c>
      <c r="O233" s="1" t="str">
        <f t="shared" si="14"/>
        <v>College</v>
      </c>
      <c r="P233" s="2" t="s">
        <v>736</v>
      </c>
      <c r="Q233" t="str">
        <f t="shared" si="15"/>
        <v>Female</v>
      </c>
    </row>
    <row r="234" spans="1:17" x14ac:dyDescent="0.25">
      <c r="A234" s="1" t="s">
        <v>355</v>
      </c>
      <c r="B234" s="2" t="s">
        <v>11</v>
      </c>
      <c r="C234" s="3">
        <v>1000</v>
      </c>
      <c r="D234" s="3">
        <v>30</v>
      </c>
      <c r="E234" s="18">
        <v>42713</v>
      </c>
      <c r="F234" s="18">
        <v>42684</v>
      </c>
      <c r="G234" s="19">
        <v>42592.649305555555</v>
      </c>
      <c r="I234" s="2" t="s">
        <v>13</v>
      </c>
      <c r="J234" s="1" t="str">
        <f t="shared" si="12"/>
        <v>Current</v>
      </c>
      <c r="K234" s="3">
        <v>37</v>
      </c>
      <c r="L234" s="2" t="s">
        <v>743</v>
      </c>
      <c r="M234" t="str">
        <f t="shared" si="13"/>
        <v>Mature</v>
      </c>
      <c r="N234" s="2" t="s">
        <v>739</v>
      </c>
      <c r="O234" s="1" t="str">
        <f t="shared" si="14"/>
        <v>College</v>
      </c>
      <c r="P234" s="2" t="s">
        <v>735</v>
      </c>
      <c r="Q234" t="str">
        <f t="shared" si="15"/>
        <v>Male</v>
      </c>
    </row>
    <row r="235" spans="1:17" x14ac:dyDescent="0.25">
      <c r="A235" s="1" t="s">
        <v>356</v>
      </c>
      <c r="B235" s="2" t="s">
        <v>11</v>
      </c>
      <c r="C235" s="3">
        <v>1000</v>
      </c>
      <c r="D235" s="3">
        <v>30</v>
      </c>
      <c r="E235" s="18">
        <v>42713</v>
      </c>
      <c r="F235" s="18">
        <v>42684</v>
      </c>
      <c r="G235" s="19">
        <v>42684.667361111111</v>
      </c>
      <c r="I235" s="2" t="s">
        <v>13</v>
      </c>
      <c r="J235" s="1" t="str">
        <f t="shared" si="12"/>
        <v>Current</v>
      </c>
      <c r="K235" s="3">
        <v>36</v>
      </c>
      <c r="L235" s="2" t="s">
        <v>743</v>
      </c>
      <c r="M235" t="str">
        <f t="shared" si="13"/>
        <v>Mature</v>
      </c>
      <c r="N235" s="2" t="s">
        <v>737</v>
      </c>
      <c r="O235" s="1" t="str">
        <f t="shared" si="14"/>
        <v>High School Or Below</v>
      </c>
      <c r="P235" s="2" t="s">
        <v>735</v>
      </c>
      <c r="Q235" t="str">
        <f t="shared" si="15"/>
        <v>Male</v>
      </c>
    </row>
    <row r="236" spans="1:17" x14ac:dyDescent="0.25">
      <c r="A236" s="1" t="s">
        <v>357</v>
      </c>
      <c r="B236" s="2" t="s">
        <v>11</v>
      </c>
      <c r="C236" s="3">
        <v>800</v>
      </c>
      <c r="D236" s="3">
        <v>15</v>
      </c>
      <c r="E236" s="18">
        <v>42713</v>
      </c>
      <c r="F236" s="18" t="s">
        <v>237</v>
      </c>
      <c r="G236" s="19" t="s">
        <v>358</v>
      </c>
      <c r="I236" s="2" t="s">
        <v>13</v>
      </c>
      <c r="J236" s="1" t="str">
        <f t="shared" si="12"/>
        <v>Current</v>
      </c>
      <c r="K236" s="3">
        <v>33</v>
      </c>
      <c r="L236" s="2" t="s">
        <v>745</v>
      </c>
      <c r="M236" t="str">
        <f t="shared" si="13"/>
        <v>Middle Aged</v>
      </c>
      <c r="N236" s="2" t="s">
        <v>737</v>
      </c>
      <c r="O236" s="1" t="str">
        <f t="shared" si="14"/>
        <v>High School Or Below</v>
      </c>
      <c r="P236" s="2" t="s">
        <v>735</v>
      </c>
      <c r="Q236" t="str">
        <f t="shared" si="15"/>
        <v>Male</v>
      </c>
    </row>
    <row r="237" spans="1:17" x14ac:dyDescent="0.25">
      <c r="A237" s="1" t="s">
        <v>359</v>
      </c>
      <c r="B237" s="2" t="s">
        <v>11</v>
      </c>
      <c r="C237" s="3">
        <v>1000</v>
      </c>
      <c r="D237" s="3">
        <v>30</v>
      </c>
      <c r="E237" s="18">
        <v>42713</v>
      </c>
      <c r="F237" s="18">
        <v>42684</v>
      </c>
      <c r="G237" s="19">
        <v>42623.894444444442</v>
      </c>
      <c r="I237" s="2" t="s">
        <v>13</v>
      </c>
      <c r="J237" s="1" t="str">
        <f t="shared" si="12"/>
        <v>Current</v>
      </c>
      <c r="K237" s="3">
        <v>30</v>
      </c>
      <c r="L237" s="2" t="s">
        <v>745</v>
      </c>
      <c r="M237" t="str">
        <f t="shared" si="13"/>
        <v>Middle Aged</v>
      </c>
      <c r="N237" s="2" t="s">
        <v>737</v>
      </c>
      <c r="O237" s="1" t="str">
        <f t="shared" si="14"/>
        <v>High School Or Below</v>
      </c>
      <c r="P237" s="2" t="s">
        <v>735</v>
      </c>
      <c r="Q237" t="str">
        <f t="shared" si="15"/>
        <v>Male</v>
      </c>
    </row>
    <row r="238" spans="1:17" x14ac:dyDescent="0.25">
      <c r="A238" s="1" t="s">
        <v>360</v>
      </c>
      <c r="B238" s="2" t="s">
        <v>11</v>
      </c>
      <c r="C238" s="3">
        <v>1000</v>
      </c>
      <c r="D238" s="3">
        <v>30</v>
      </c>
      <c r="E238" s="18">
        <v>42713</v>
      </c>
      <c r="F238" s="18">
        <v>42684</v>
      </c>
      <c r="G238" s="19">
        <v>42561.697916666664</v>
      </c>
      <c r="I238" s="2" t="s">
        <v>13</v>
      </c>
      <c r="J238" s="1" t="str">
        <f t="shared" si="12"/>
        <v>Current</v>
      </c>
      <c r="K238" s="3">
        <v>30</v>
      </c>
      <c r="L238" s="2" t="s">
        <v>745</v>
      </c>
      <c r="M238" t="str">
        <f t="shared" si="13"/>
        <v>Middle Aged</v>
      </c>
      <c r="N238" s="2" t="s">
        <v>739</v>
      </c>
      <c r="O238" s="1" t="str">
        <f t="shared" si="14"/>
        <v>College</v>
      </c>
      <c r="P238" s="2" t="s">
        <v>735</v>
      </c>
      <c r="Q238" t="str">
        <f t="shared" si="15"/>
        <v>Male</v>
      </c>
    </row>
    <row r="239" spans="1:17" x14ac:dyDescent="0.25">
      <c r="A239" s="1" t="s">
        <v>361</v>
      </c>
      <c r="B239" s="2" t="s">
        <v>11</v>
      </c>
      <c r="C239" s="3">
        <v>800</v>
      </c>
      <c r="D239" s="3">
        <v>15</v>
      </c>
      <c r="E239" s="18">
        <v>42713</v>
      </c>
      <c r="F239" s="18" t="s">
        <v>237</v>
      </c>
      <c r="G239" s="19" t="s">
        <v>362</v>
      </c>
      <c r="I239" s="2" t="s">
        <v>13</v>
      </c>
      <c r="J239" s="1" t="str">
        <f t="shared" si="12"/>
        <v>Current</v>
      </c>
      <c r="K239" s="3">
        <v>36</v>
      </c>
      <c r="L239" s="2" t="s">
        <v>743</v>
      </c>
      <c r="M239" t="str">
        <f t="shared" si="13"/>
        <v>Mature</v>
      </c>
      <c r="N239" s="2" t="s">
        <v>737</v>
      </c>
      <c r="O239" s="1" t="str">
        <f t="shared" si="14"/>
        <v>High School Or Below</v>
      </c>
      <c r="P239" s="2" t="s">
        <v>735</v>
      </c>
      <c r="Q239" t="str">
        <f t="shared" si="15"/>
        <v>Male</v>
      </c>
    </row>
    <row r="240" spans="1:17" x14ac:dyDescent="0.25">
      <c r="A240" s="1" t="s">
        <v>363</v>
      </c>
      <c r="B240" s="2" t="s">
        <v>11</v>
      </c>
      <c r="C240" s="3">
        <v>1000</v>
      </c>
      <c r="D240" s="3">
        <v>15</v>
      </c>
      <c r="E240" s="18">
        <v>42713</v>
      </c>
      <c r="F240" s="18">
        <v>42684</v>
      </c>
      <c r="G240" s="19">
        <v>42684.375694444447</v>
      </c>
      <c r="I240" s="2" t="s">
        <v>13</v>
      </c>
      <c r="J240" s="1" t="str">
        <f t="shared" si="12"/>
        <v>Current</v>
      </c>
      <c r="K240" s="3">
        <v>29</v>
      </c>
      <c r="L240" s="2" t="s">
        <v>745</v>
      </c>
      <c r="M240" t="str">
        <f t="shared" si="13"/>
        <v>Middle Aged</v>
      </c>
      <c r="N240" s="2" t="s">
        <v>739</v>
      </c>
      <c r="O240" s="1" t="str">
        <f t="shared" si="14"/>
        <v>College</v>
      </c>
      <c r="P240" s="2" t="s">
        <v>735</v>
      </c>
      <c r="Q240" t="str">
        <f t="shared" si="15"/>
        <v>Male</v>
      </c>
    </row>
    <row r="241" spans="1:17" x14ac:dyDescent="0.25">
      <c r="A241" s="1" t="s">
        <v>364</v>
      </c>
      <c r="B241" s="2" t="s">
        <v>11</v>
      </c>
      <c r="C241" s="3">
        <v>1000</v>
      </c>
      <c r="D241" s="3">
        <v>15</v>
      </c>
      <c r="E241" s="18">
        <v>42713</v>
      </c>
      <c r="F241" s="18" t="s">
        <v>237</v>
      </c>
      <c r="G241" s="19" t="s">
        <v>365</v>
      </c>
      <c r="I241" s="2" t="s">
        <v>13</v>
      </c>
      <c r="J241" s="1" t="str">
        <f t="shared" si="12"/>
        <v>Current</v>
      </c>
      <c r="K241" s="3">
        <v>36</v>
      </c>
      <c r="L241" s="2" t="s">
        <v>743</v>
      </c>
      <c r="M241" t="str">
        <f t="shared" si="13"/>
        <v>Mature</v>
      </c>
      <c r="N241" s="2" t="s">
        <v>737</v>
      </c>
      <c r="O241" s="1" t="str">
        <f t="shared" si="14"/>
        <v>High School Or Below</v>
      </c>
      <c r="P241" s="2" t="s">
        <v>735</v>
      </c>
      <c r="Q241" t="str">
        <f t="shared" si="15"/>
        <v>Male</v>
      </c>
    </row>
    <row r="242" spans="1:17" x14ac:dyDescent="0.25">
      <c r="A242" s="1" t="s">
        <v>366</v>
      </c>
      <c r="B242" s="2" t="s">
        <v>11</v>
      </c>
      <c r="C242" s="3">
        <v>1000</v>
      </c>
      <c r="D242" s="3">
        <v>30</v>
      </c>
      <c r="E242" s="18">
        <v>42713</v>
      </c>
      <c r="F242" s="18">
        <v>42684</v>
      </c>
      <c r="G242" s="19">
        <v>42592.460416666669</v>
      </c>
      <c r="I242" s="2" t="s">
        <v>13</v>
      </c>
      <c r="J242" s="1" t="str">
        <f t="shared" si="12"/>
        <v>Current</v>
      </c>
      <c r="K242" s="3">
        <v>32</v>
      </c>
      <c r="L242" s="2" t="s">
        <v>745</v>
      </c>
      <c r="M242" t="str">
        <f t="shared" si="13"/>
        <v>Middle Aged</v>
      </c>
      <c r="N242" s="2" t="s">
        <v>737</v>
      </c>
      <c r="O242" s="1" t="str">
        <f t="shared" si="14"/>
        <v>High School Or Below</v>
      </c>
      <c r="P242" s="2" t="s">
        <v>735</v>
      </c>
      <c r="Q242" t="str">
        <f t="shared" si="15"/>
        <v>Male</v>
      </c>
    </row>
    <row r="243" spans="1:17" x14ac:dyDescent="0.25">
      <c r="A243" s="1" t="s">
        <v>367</v>
      </c>
      <c r="B243" s="2" t="s">
        <v>11</v>
      </c>
      <c r="C243" s="3">
        <v>1000</v>
      </c>
      <c r="D243" s="3">
        <v>15</v>
      </c>
      <c r="E243" s="18">
        <v>42713</v>
      </c>
      <c r="F243" s="18" t="s">
        <v>237</v>
      </c>
      <c r="G243" s="19" t="s">
        <v>238</v>
      </c>
      <c r="I243" s="2" t="s">
        <v>13</v>
      </c>
      <c r="J243" s="1" t="str">
        <f t="shared" si="12"/>
        <v>Current</v>
      </c>
      <c r="K243" s="3">
        <v>29</v>
      </c>
      <c r="L243" s="2" t="s">
        <v>745</v>
      </c>
      <c r="M243" t="str">
        <f t="shared" si="13"/>
        <v>Middle Aged</v>
      </c>
      <c r="N243" s="2" t="s">
        <v>737</v>
      </c>
      <c r="O243" s="1" t="str">
        <f t="shared" si="14"/>
        <v>High School Or Below</v>
      </c>
      <c r="P243" s="2" t="s">
        <v>736</v>
      </c>
      <c r="Q243" t="str">
        <f t="shared" si="15"/>
        <v>Female</v>
      </c>
    </row>
    <row r="244" spans="1:17" x14ac:dyDescent="0.25">
      <c r="A244" s="1" t="s">
        <v>368</v>
      </c>
      <c r="B244" s="2" t="s">
        <v>11</v>
      </c>
      <c r="C244" s="3">
        <v>800</v>
      </c>
      <c r="D244" s="3">
        <v>15</v>
      </c>
      <c r="E244" s="18">
        <v>42713</v>
      </c>
      <c r="F244" s="18" t="s">
        <v>237</v>
      </c>
      <c r="G244" s="19" t="s">
        <v>340</v>
      </c>
      <c r="I244" s="2" t="s">
        <v>13</v>
      </c>
      <c r="J244" s="1" t="str">
        <f t="shared" si="12"/>
        <v>Current</v>
      </c>
      <c r="K244" s="3">
        <v>36</v>
      </c>
      <c r="L244" s="2" t="s">
        <v>743</v>
      </c>
      <c r="M244" t="str">
        <f t="shared" si="13"/>
        <v>Mature</v>
      </c>
      <c r="N244" s="2" t="s">
        <v>738</v>
      </c>
      <c r="O244" s="1" t="str">
        <f t="shared" si="14"/>
        <v>Bachelor</v>
      </c>
      <c r="P244" s="2" t="s">
        <v>735</v>
      </c>
      <c r="Q244" t="str">
        <f t="shared" si="15"/>
        <v>Male</v>
      </c>
    </row>
    <row r="245" spans="1:17" x14ac:dyDescent="0.25">
      <c r="A245" s="1" t="s">
        <v>369</v>
      </c>
      <c r="B245" s="2" t="s">
        <v>11</v>
      </c>
      <c r="C245" s="3">
        <v>800</v>
      </c>
      <c r="D245" s="3">
        <v>15</v>
      </c>
      <c r="E245" s="18">
        <v>42713</v>
      </c>
      <c r="F245" s="18" t="s">
        <v>237</v>
      </c>
      <c r="G245" s="19" t="s">
        <v>370</v>
      </c>
      <c r="I245" s="2" t="s">
        <v>13</v>
      </c>
      <c r="J245" s="1" t="str">
        <f t="shared" si="12"/>
        <v>Current</v>
      </c>
      <c r="K245" s="3">
        <v>30</v>
      </c>
      <c r="L245" s="2" t="s">
        <v>745</v>
      </c>
      <c r="M245" t="str">
        <f t="shared" si="13"/>
        <v>Middle Aged</v>
      </c>
      <c r="N245" s="2" t="s">
        <v>737</v>
      </c>
      <c r="O245" s="1" t="str">
        <f t="shared" si="14"/>
        <v>High School Or Below</v>
      </c>
      <c r="P245" s="2" t="s">
        <v>736</v>
      </c>
      <c r="Q245" t="str">
        <f t="shared" si="15"/>
        <v>Female</v>
      </c>
    </row>
    <row r="246" spans="1:17" x14ac:dyDescent="0.25">
      <c r="A246" s="1" t="s">
        <v>371</v>
      </c>
      <c r="B246" s="2" t="s">
        <v>11</v>
      </c>
      <c r="C246" s="3">
        <v>1000</v>
      </c>
      <c r="D246" s="3">
        <v>7</v>
      </c>
      <c r="E246" s="18" t="s">
        <v>372</v>
      </c>
      <c r="F246" s="18" t="s">
        <v>373</v>
      </c>
      <c r="G246" s="19" t="s">
        <v>374</v>
      </c>
      <c r="I246" s="2" t="s">
        <v>13</v>
      </c>
      <c r="J246" s="1" t="str">
        <f t="shared" si="12"/>
        <v>Current</v>
      </c>
      <c r="K246" s="3">
        <v>31</v>
      </c>
      <c r="L246" s="2" t="s">
        <v>745</v>
      </c>
      <c r="M246" t="str">
        <f t="shared" si="13"/>
        <v>Middle Aged</v>
      </c>
      <c r="N246" s="2" t="s">
        <v>739</v>
      </c>
      <c r="O246" s="1" t="str">
        <f t="shared" si="14"/>
        <v>College</v>
      </c>
      <c r="P246" s="2" t="s">
        <v>735</v>
      </c>
      <c r="Q246" t="str">
        <f t="shared" si="15"/>
        <v>Male</v>
      </c>
    </row>
    <row r="247" spans="1:17" x14ac:dyDescent="0.25">
      <c r="A247" s="1" t="s">
        <v>375</v>
      </c>
      <c r="B247" s="2" t="s">
        <v>11</v>
      </c>
      <c r="C247" s="3">
        <v>1000</v>
      </c>
      <c r="D247" s="3">
        <v>30</v>
      </c>
      <c r="E247" s="18" t="s">
        <v>372</v>
      </c>
      <c r="F247" s="18">
        <v>42714</v>
      </c>
      <c r="G247" s="19">
        <v>42714.958333333336</v>
      </c>
      <c r="I247" s="2" t="s">
        <v>13</v>
      </c>
      <c r="J247" s="1" t="str">
        <f t="shared" si="12"/>
        <v>Current</v>
      </c>
      <c r="K247" s="3">
        <v>19</v>
      </c>
      <c r="L247" s="2" t="s">
        <v>746</v>
      </c>
      <c r="M247" t="str">
        <f t="shared" si="13"/>
        <v xml:space="preserve"> Young Adults</v>
      </c>
      <c r="N247" s="2" t="s">
        <v>737</v>
      </c>
      <c r="O247" s="1" t="str">
        <f t="shared" si="14"/>
        <v>High School Or Below</v>
      </c>
      <c r="P247" s="2" t="s">
        <v>736</v>
      </c>
      <c r="Q247" t="str">
        <f t="shared" si="15"/>
        <v>Female</v>
      </c>
    </row>
    <row r="248" spans="1:17" x14ac:dyDescent="0.25">
      <c r="A248" s="1" t="s">
        <v>376</v>
      </c>
      <c r="B248" s="2" t="s">
        <v>11</v>
      </c>
      <c r="C248" s="3">
        <v>800</v>
      </c>
      <c r="D248" s="3">
        <v>15</v>
      </c>
      <c r="E248" s="18" t="s">
        <v>372</v>
      </c>
      <c r="F248" s="18" t="s">
        <v>377</v>
      </c>
      <c r="G248" s="19" t="s">
        <v>378</v>
      </c>
      <c r="I248" s="2" t="s">
        <v>13</v>
      </c>
      <c r="J248" s="1" t="str">
        <f t="shared" si="12"/>
        <v>Current</v>
      </c>
      <c r="K248" s="3">
        <v>26</v>
      </c>
      <c r="L248" s="2" t="s">
        <v>745</v>
      </c>
      <c r="M248" t="str">
        <f t="shared" si="13"/>
        <v>Middle Aged</v>
      </c>
      <c r="N248" s="2" t="s">
        <v>739</v>
      </c>
      <c r="O248" s="1" t="str">
        <f t="shared" si="14"/>
        <v>College</v>
      </c>
      <c r="P248" s="2" t="s">
        <v>735</v>
      </c>
      <c r="Q248" t="str">
        <f t="shared" si="15"/>
        <v>Male</v>
      </c>
    </row>
    <row r="249" spans="1:17" x14ac:dyDescent="0.25">
      <c r="A249" s="1" t="s">
        <v>379</v>
      </c>
      <c r="B249" s="2" t="s">
        <v>11</v>
      </c>
      <c r="C249" s="3">
        <v>800</v>
      </c>
      <c r="D249" s="3">
        <v>15</v>
      </c>
      <c r="E249" s="18" t="s">
        <v>372</v>
      </c>
      <c r="F249" s="18" t="s">
        <v>377</v>
      </c>
      <c r="G249" s="19" t="s">
        <v>380</v>
      </c>
      <c r="I249" s="2" t="s">
        <v>13</v>
      </c>
      <c r="J249" s="1" t="str">
        <f t="shared" si="12"/>
        <v>Current</v>
      </c>
      <c r="K249" s="3">
        <v>34</v>
      </c>
      <c r="L249" s="2" t="s">
        <v>743</v>
      </c>
      <c r="M249" t="str">
        <f t="shared" si="13"/>
        <v>Mature</v>
      </c>
      <c r="N249" s="2" t="s">
        <v>737</v>
      </c>
      <c r="O249" s="1" t="str">
        <f t="shared" si="14"/>
        <v>High School Or Below</v>
      </c>
      <c r="P249" s="2" t="s">
        <v>735</v>
      </c>
      <c r="Q249" t="str">
        <f t="shared" si="15"/>
        <v>Male</v>
      </c>
    </row>
    <row r="250" spans="1:17" x14ac:dyDescent="0.25">
      <c r="A250" s="1" t="s">
        <v>381</v>
      </c>
      <c r="B250" s="2" t="s">
        <v>11</v>
      </c>
      <c r="C250" s="3">
        <v>1000</v>
      </c>
      <c r="D250" s="3">
        <v>30</v>
      </c>
      <c r="E250" s="18" t="s">
        <v>372</v>
      </c>
      <c r="F250" s="18">
        <v>42714</v>
      </c>
      <c r="G250" s="19">
        <v>42561.431944444441</v>
      </c>
      <c r="I250" s="2" t="s">
        <v>13</v>
      </c>
      <c r="J250" s="1" t="str">
        <f t="shared" si="12"/>
        <v>Current</v>
      </c>
      <c r="K250" s="3">
        <v>35</v>
      </c>
      <c r="L250" s="2" t="s">
        <v>743</v>
      </c>
      <c r="M250" t="str">
        <f t="shared" si="13"/>
        <v>Mature</v>
      </c>
      <c r="N250" s="2" t="s">
        <v>737</v>
      </c>
      <c r="O250" s="1" t="str">
        <f t="shared" si="14"/>
        <v>High School Or Below</v>
      </c>
      <c r="P250" s="2" t="s">
        <v>735</v>
      </c>
      <c r="Q250" t="str">
        <f t="shared" si="15"/>
        <v>Male</v>
      </c>
    </row>
    <row r="251" spans="1:17" x14ac:dyDescent="0.25">
      <c r="A251" s="1" t="s">
        <v>382</v>
      </c>
      <c r="B251" s="2" t="s">
        <v>11</v>
      </c>
      <c r="C251" s="3">
        <v>1000</v>
      </c>
      <c r="D251" s="3">
        <v>15</v>
      </c>
      <c r="E251" s="18" t="s">
        <v>372</v>
      </c>
      <c r="F251" s="18" t="s">
        <v>377</v>
      </c>
      <c r="G251" s="19" t="s">
        <v>383</v>
      </c>
      <c r="I251" s="2" t="s">
        <v>13</v>
      </c>
      <c r="J251" s="1" t="str">
        <f t="shared" si="12"/>
        <v>Current</v>
      </c>
      <c r="K251" s="3">
        <v>35</v>
      </c>
      <c r="L251" s="2" t="s">
        <v>743</v>
      </c>
      <c r="M251" t="str">
        <f t="shared" si="13"/>
        <v>Mature</v>
      </c>
      <c r="N251" s="2" t="s">
        <v>738</v>
      </c>
      <c r="O251" s="1" t="str">
        <f t="shared" si="14"/>
        <v>Bachelor</v>
      </c>
      <c r="P251" s="2" t="s">
        <v>736</v>
      </c>
      <c r="Q251" t="str">
        <f t="shared" si="15"/>
        <v>Female</v>
      </c>
    </row>
    <row r="252" spans="1:17" x14ac:dyDescent="0.25">
      <c r="A252" s="1" t="s">
        <v>384</v>
      </c>
      <c r="B252" s="2" t="s">
        <v>11</v>
      </c>
      <c r="C252" s="3">
        <v>800</v>
      </c>
      <c r="D252" s="3">
        <v>15</v>
      </c>
      <c r="E252" s="18" t="s">
        <v>372</v>
      </c>
      <c r="F252" s="18" t="s">
        <v>377</v>
      </c>
      <c r="G252" s="19" t="s">
        <v>385</v>
      </c>
      <c r="I252" s="2" t="s">
        <v>13</v>
      </c>
      <c r="J252" s="1" t="str">
        <f t="shared" si="12"/>
        <v>Current</v>
      </c>
      <c r="K252" s="3">
        <v>38</v>
      </c>
      <c r="L252" s="2" t="s">
        <v>743</v>
      </c>
      <c r="M252" t="str">
        <f t="shared" si="13"/>
        <v>Mature</v>
      </c>
      <c r="N252" s="2" t="s">
        <v>739</v>
      </c>
      <c r="O252" s="1" t="str">
        <f t="shared" si="14"/>
        <v>College</v>
      </c>
      <c r="P252" s="2" t="s">
        <v>735</v>
      </c>
      <c r="Q252" t="str">
        <f t="shared" si="15"/>
        <v>Male</v>
      </c>
    </row>
    <row r="253" spans="1:17" x14ac:dyDescent="0.25">
      <c r="A253" s="1" t="s">
        <v>386</v>
      </c>
      <c r="B253" s="2" t="s">
        <v>11</v>
      </c>
      <c r="C253" s="3">
        <v>1000</v>
      </c>
      <c r="D253" s="3">
        <v>30</v>
      </c>
      <c r="E253" s="18" t="s">
        <v>372</v>
      </c>
      <c r="F253" s="18">
        <v>42714</v>
      </c>
      <c r="G253" s="19">
        <v>42623.914583333331</v>
      </c>
      <c r="I253" s="2" t="s">
        <v>13</v>
      </c>
      <c r="J253" s="1" t="str">
        <f t="shared" si="12"/>
        <v>Current</v>
      </c>
      <c r="K253" s="3">
        <v>29</v>
      </c>
      <c r="L253" s="2" t="s">
        <v>745</v>
      </c>
      <c r="M253" t="str">
        <f t="shared" si="13"/>
        <v>Middle Aged</v>
      </c>
      <c r="N253" s="2" t="s">
        <v>739</v>
      </c>
      <c r="O253" s="1" t="str">
        <f t="shared" si="14"/>
        <v>College</v>
      </c>
      <c r="P253" s="2" t="s">
        <v>735</v>
      </c>
      <c r="Q253" t="str">
        <f t="shared" si="15"/>
        <v>Male</v>
      </c>
    </row>
    <row r="254" spans="1:17" x14ac:dyDescent="0.25">
      <c r="A254" s="1" t="s">
        <v>387</v>
      </c>
      <c r="B254" s="2" t="s">
        <v>11</v>
      </c>
      <c r="C254" s="3">
        <v>1000</v>
      </c>
      <c r="D254" s="3">
        <v>30</v>
      </c>
      <c r="E254" s="18" t="s">
        <v>372</v>
      </c>
      <c r="F254" s="18">
        <v>42714</v>
      </c>
      <c r="G254" s="19">
        <v>42470.540972222225</v>
      </c>
      <c r="I254" s="2" t="s">
        <v>13</v>
      </c>
      <c r="J254" s="1" t="str">
        <f t="shared" si="12"/>
        <v>Current</v>
      </c>
      <c r="K254" s="3">
        <v>28</v>
      </c>
      <c r="L254" s="2" t="s">
        <v>745</v>
      </c>
      <c r="M254" t="str">
        <f t="shared" si="13"/>
        <v>Middle Aged</v>
      </c>
      <c r="N254" s="2" t="s">
        <v>737</v>
      </c>
      <c r="O254" s="1" t="str">
        <f t="shared" si="14"/>
        <v>High School Or Below</v>
      </c>
      <c r="P254" s="2" t="s">
        <v>735</v>
      </c>
      <c r="Q254" t="str">
        <f t="shared" si="15"/>
        <v>Male</v>
      </c>
    </row>
    <row r="255" spans="1:17" x14ac:dyDescent="0.25">
      <c r="A255" s="1" t="s">
        <v>388</v>
      </c>
      <c r="B255" s="2" t="s">
        <v>11</v>
      </c>
      <c r="C255" s="3">
        <v>500</v>
      </c>
      <c r="D255" s="3">
        <v>7</v>
      </c>
      <c r="E255" s="18" t="s">
        <v>372</v>
      </c>
      <c r="F255" s="18" t="s">
        <v>373</v>
      </c>
      <c r="G255" s="19" t="s">
        <v>389</v>
      </c>
      <c r="I255" s="2" t="s">
        <v>13</v>
      </c>
      <c r="J255" s="1" t="str">
        <f t="shared" si="12"/>
        <v>Current</v>
      </c>
      <c r="K255" s="3">
        <v>22</v>
      </c>
      <c r="L255" s="2" t="s">
        <v>746</v>
      </c>
      <c r="M255" t="str">
        <f t="shared" si="13"/>
        <v xml:space="preserve"> Young Adults</v>
      </c>
      <c r="N255" s="2" t="s">
        <v>737</v>
      </c>
      <c r="O255" s="1" t="str">
        <f t="shared" si="14"/>
        <v>High School Or Below</v>
      </c>
      <c r="P255" s="2" t="s">
        <v>735</v>
      </c>
      <c r="Q255" t="str">
        <f t="shared" si="15"/>
        <v>Male</v>
      </c>
    </row>
    <row r="256" spans="1:17" x14ac:dyDescent="0.25">
      <c r="A256" s="1" t="s">
        <v>390</v>
      </c>
      <c r="B256" s="2" t="s">
        <v>11</v>
      </c>
      <c r="C256" s="3">
        <v>1000</v>
      </c>
      <c r="D256" s="3">
        <v>30</v>
      </c>
      <c r="E256" s="18" t="s">
        <v>372</v>
      </c>
      <c r="F256" s="18">
        <v>42714</v>
      </c>
      <c r="G256" s="19">
        <v>42714.958333333336</v>
      </c>
      <c r="I256" s="2" t="s">
        <v>13</v>
      </c>
      <c r="J256" s="1" t="str">
        <f t="shared" si="12"/>
        <v>Current</v>
      </c>
      <c r="K256" s="3">
        <v>32</v>
      </c>
      <c r="L256" s="2" t="s">
        <v>745</v>
      </c>
      <c r="M256" t="str">
        <f t="shared" si="13"/>
        <v>Middle Aged</v>
      </c>
      <c r="N256" s="2" t="s">
        <v>739</v>
      </c>
      <c r="O256" s="1" t="str">
        <f t="shared" si="14"/>
        <v>College</v>
      </c>
      <c r="P256" s="2" t="s">
        <v>735</v>
      </c>
      <c r="Q256" t="str">
        <f t="shared" si="15"/>
        <v>Male</v>
      </c>
    </row>
    <row r="257" spans="1:17" x14ac:dyDescent="0.25">
      <c r="A257" s="1" t="s">
        <v>391</v>
      </c>
      <c r="B257" s="2" t="s">
        <v>11</v>
      </c>
      <c r="C257" s="3">
        <v>1000</v>
      </c>
      <c r="D257" s="3">
        <v>30</v>
      </c>
      <c r="E257" s="18" t="s">
        <v>372</v>
      </c>
      <c r="F257" s="18">
        <v>42714</v>
      </c>
      <c r="G257" s="19">
        <v>42592.660416666666</v>
      </c>
      <c r="I257" s="2" t="s">
        <v>13</v>
      </c>
      <c r="J257" s="1" t="str">
        <f t="shared" si="12"/>
        <v>Current</v>
      </c>
      <c r="K257" s="3">
        <v>31</v>
      </c>
      <c r="L257" s="2" t="s">
        <v>745</v>
      </c>
      <c r="M257" t="str">
        <f t="shared" si="13"/>
        <v>Middle Aged</v>
      </c>
      <c r="N257" s="2" t="s">
        <v>739</v>
      </c>
      <c r="O257" s="1" t="str">
        <f t="shared" si="14"/>
        <v>College</v>
      </c>
      <c r="P257" s="2" t="s">
        <v>735</v>
      </c>
      <c r="Q257" t="str">
        <f t="shared" si="15"/>
        <v>Male</v>
      </c>
    </row>
    <row r="258" spans="1:17" x14ac:dyDescent="0.25">
      <c r="A258" s="1" t="s">
        <v>392</v>
      </c>
      <c r="B258" s="2" t="s">
        <v>11</v>
      </c>
      <c r="C258" s="3">
        <v>800</v>
      </c>
      <c r="D258" s="3">
        <v>15</v>
      </c>
      <c r="E258" s="18" t="s">
        <v>372</v>
      </c>
      <c r="F258" s="18" t="s">
        <v>377</v>
      </c>
      <c r="G258" s="19" t="s">
        <v>393</v>
      </c>
      <c r="I258" s="2" t="s">
        <v>13</v>
      </c>
      <c r="J258" s="1" t="str">
        <f t="shared" si="12"/>
        <v>Current</v>
      </c>
      <c r="K258" s="3">
        <v>28</v>
      </c>
      <c r="L258" s="2" t="s">
        <v>745</v>
      </c>
      <c r="M258" t="str">
        <f t="shared" si="13"/>
        <v>Middle Aged</v>
      </c>
      <c r="N258" s="2" t="s">
        <v>739</v>
      </c>
      <c r="O258" s="1" t="str">
        <f t="shared" si="14"/>
        <v>College</v>
      </c>
      <c r="P258" s="2" t="s">
        <v>735</v>
      </c>
      <c r="Q258" t="str">
        <f t="shared" si="15"/>
        <v>Male</v>
      </c>
    </row>
    <row r="259" spans="1:17" x14ac:dyDescent="0.25">
      <c r="A259" s="1" t="s">
        <v>394</v>
      </c>
      <c r="B259" s="2" t="s">
        <v>11</v>
      </c>
      <c r="C259" s="3">
        <v>1000</v>
      </c>
      <c r="D259" s="3">
        <v>15</v>
      </c>
      <c r="E259" s="18" t="s">
        <v>372</v>
      </c>
      <c r="F259" s="18" t="s">
        <v>377</v>
      </c>
      <c r="G259" s="19" t="s">
        <v>393</v>
      </c>
      <c r="I259" s="2" t="s">
        <v>13</v>
      </c>
      <c r="J259" s="1" t="str">
        <f t="shared" ref="J259:J322" si="16">IF(H259 = " ", "Current", IF(H259 = 0, "Current", IF(H259 &lt;= 39, "1 - 39 Days", IF(H259 &lt;= 80, "40 - 80 Days"))))</f>
        <v>Current</v>
      </c>
      <c r="K259" s="3">
        <v>37</v>
      </c>
      <c r="L259" s="2" t="s">
        <v>743</v>
      </c>
      <c r="M259" t="str">
        <f t="shared" ref="M259:M322" si="17">IF(K259 &lt;= 25, " Young Adults", IF(K259 &lt;= 33, "Middle Aged", IF(K259 &lt;= 49, "Mature", IF(K259 &lt;= 100, "Old"))))</f>
        <v>Mature</v>
      </c>
      <c r="N259" s="2" t="s">
        <v>739</v>
      </c>
      <c r="O259" s="1" t="str">
        <f t="shared" ref="O259:O322" si="18">PROPER(N259)</f>
        <v>College</v>
      </c>
      <c r="P259" s="2" t="s">
        <v>736</v>
      </c>
      <c r="Q259" t="str">
        <f t="shared" ref="Q259:Q322" si="19">PROPER(P259)</f>
        <v>Female</v>
      </c>
    </row>
    <row r="260" spans="1:17" x14ac:dyDescent="0.25">
      <c r="A260" s="1" t="s">
        <v>395</v>
      </c>
      <c r="B260" s="2" t="s">
        <v>11</v>
      </c>
      <c r="C260" s="3">
        <v>1000</v>
      </c>
      <c r="D260" s="3">
        <v>7</v>
      </c>
      <c r="E260" s="18" t="s">
        <v>372</v>
      </c>
      <c r="F260" s="18" t="s">
        <v>373</v>
      </c>
      <c r="G260" s="19" t="s">
        <v>396</v>
      </c>
      <c r="I260" s="2" t="s">
        <v>13</v>
      </c>
      <c r="J260" s="1" t="str">
        <f t="shared" si="16"/>
        <v>Current</v>
      </c>
      <c r="K260" s="3">
        <v>25</v>
      </c>
      <c r="L260" s="2" t="s">
        <v>746</v>
      </c>
      <c r="M260" t="str">
        <f t="shared" si="17"/>
        <v xml:space="preserve"> Young Adults</v>
      </c>
      <c r="N260" s="2" t="s">
        <v>739</v>
      </c>
      <c r="O260" s="1" t="str">
        <f t="shared" si="18"/>
        <v>College</v>
      </c>
      <c r="P260" s="2" t="s">
        <v>735</v>
      </c>
      <c r="Q260" t="str">
        <f t="shared" si="19"/>
        <v>Male</v>
      </c>
    </row>
    <row r="261" spans="1:17" x14ac:dyDescent="0.25">
      <c r="A261" s="1" t="s">
        <v>397</v>
      </c>
      <c r="B261" s="2" t="s">
        <v>11</v>
      </c>
      <c r="C261" s="3">
        <v>1000</v>
      </c>
      <c r="D261" s="3">
        <v>30</v>
      </c>
      <c r="E261" s="18" t="s">
        <v>372</v>
      </c>
      <c r="F261" s="18">
        <v>42714</v>
      </c>
      <c r="G261" s="19">
        <v>42714.375</v>
      </c>
      <c r="I261" s="2" t="s">
        <v>13</v>
      </c>
      <c r="J261" s="1" t="str">
        <f t="shared" si="16"/>
        <v>Current</v>
      </c>
      <c r="K261" s="3">
        <v>19</v>
      </c>
      <c r="L261" s="2" t="s">
        <v>746</v>
      </c>
      <c r="M261" t="str">
        <f t="shared" si="17"/>
        <v xml:space="preserve"> Young Adults</v>
      </c>
      <c r="N261" s="2" t="s">
        <v>737</v>
      </c>
      <c r="O261" s="1" t="str">
        <f t="shared" si="18"/>
        <v>High School Or Below</v>
      </c>
      <c r="P261" s="2" t="s">
        <v>735</v>
      </c>
      <c r="Q261" t="str">
        <f t="shared" si="19"/>
        <v>Male</v>
      </c>
    </row>
    <row r="262" spans="1:17" x14ac:dyDescent="0.25">
      <c r="A262" s="1" t="s">
        <v>398</v>
      </c>
      <c r="B262" s="2" t="s">
        <v>11</v>
      </c>
      <c r="C262" s="3">
        <v>800</v>
      </c>
      <c r="D262" s="3">
        <v>15</v>
      </c>
      <c r="E262" s="18" t="s">
        <v>372</v>
      </c>
      <c r="F262" s="18" t="s">
        <v>377</v>
      </c>
      <c r="G262" s="19" t="s">
        <v>399</v>
      </c>
      <c r="I262" s="2" t="s">
        <v>13</v>
      </c>
      <c r="J262" s="1" t="str">
        <f t="shared" si="16"/>
        <v>Current</v>
      </c>
      <c r="K262" s="3">
        <v>51</v>
      </c>
      <c r="L262" s="2" t="s">
        <v>744</v>
      </c>
      <c r="M262" t="str">
        <f t="shared" si="17"/>
        <v>Old</v>
      </c>
      <c r="N262" s="2" t="s">
        <v>739</v>
      </c>
      <c r="O262" s="1" t="str">
        <f t="shared" si="18"/>
        <v>College</v>
      </c>
      <c r="P262" s="2" t="s">
        <v>735</v>
      </c>
      <c r="Q262" t="str">
        <f t="shared" si="19"/>
        <v>Male</v>
      </c>
    </row>
    <row r="263" spans="1:17" x14ac:dyDescent="0.25">
      <c r="A263" s="1" t="s">
        <v>400</v>
      </c>
      <c r="B263" s="2" t="s">
        <v>11</v>
      </c>
      <c r="C263" s="3">
        <v>1000</v>
      </c>
      <c r="D263" s="3">
        <v>15</v>
      </c>
      <c r="E263" s="18" t="s">
        <v>372</v>
      </c>
      <c r="F263" s="18" t="s">
        <v>377</v>
      </c>
      <c r="G263" s="19" t="s">
        <v>401</v>
      </c>
      <c r="I263" s="2" t="s">
        <v>13</v>
      </c>
      <c r="J263" s="1" t="str">
        <f t="shared" si="16"/>
        <v>Current</v>
      </c>
      <c r="K263" s="3">
        <v>29</v>
      </c>
      <c r="L263" s="2" t="s">
        <v>745</v>
      </c>
      <c r="M263" t="str">
        <f t="shared" si="17"/>
        <v>Middle Aged</v>
      </c>
      <c r="N263" s="2" t="s">
        <v>737</v>
      </c>
      <c r="O263" s="1" t="str">
        <f t="shared" si="18"/>
        <v>High School Or Below</v>
      </c>
      <c r="P263" s="2" t="s">
        <v>735</v>
      </c>
      <c r="Q263" t="str">
        <f t="shared" si="19"/>
        <v>Male</v>
      </c>
    </row>
    <row r="264" spans="1:17" x14ac:dyDescent="0.25">
      <c r="A264" s="1" t="s">
        <v>402</v>
      </c>
      <c r="B264" s="2" t="s">
        <v>11</v>
      </c>
      <c r="C264" s="3">
        <v>800</v>
      </c>
      <c r="D264" s="3">
        <v>30</v>
      </c>
      <c r="E264" s="18" t="s">
        <v>372</v>
      </c>
      <c r="F264" s="18">
        <v>42714</v>
      </c>
      <c r="G264" s="19">
        <v>42684.020138888889</v>
      </c>
      <c r="I264" s="2" t="s">
        <v>13</v>
      </c>
      <c r="J264" s="1" t="str">
        <f t="shared" si="16"/>
        <v>Current</v>
      </c>
      <c r="K264" s="3">
        <v>23</v>
      </c>
      <c r="L264" s="2" t="s">
        <v>746</v>
      </c>
      <c r="M264" t="str">
        <f t="shared" si="17"/>
        <v xml:space="preserve"> Young Adults</v>
      </c>
      <c r="N264" s="2" t="s">
        <v>739</v>
      </c>
      <c r="O264" s="1" t="str">
        <f t="shared" si="18"/>
        <v>College</v>
      </c>
      <c r="P264" s="2" t="s">
        <v>736</v>
      </c>
      <c r="Q264" t="str">
        <f t="shared" si="19"/>
        <v>Female</v>
      </c>
    </row>
    <row r="265" spans="1:17" x14ac:dyDescent="0.25">
      <c r="A265" s="1" t="s">
        <v>403</v>
      </c>
      <c r="B265" s="2" t="s">
        <v>11</v>
      </c>
      <c r="C265" s="3">
        <v>1000</v>
      </c>
      <c r="D265" s="3">
        <v>15</v>
      </c>
      <c r="E265" s="18" t="s">
        <v>372</v>
      </c>
      <c r="F265" s="18" t="s">
        <v>377</v>
      </c>
      <c r="G265" s="19" t="s">
        <v>404</v>
      </c>
      <c r="I265" s="2" t="s">
        <v>13</v>
      </c>
      <c r="J265" s="1" t="str">
        <f t="shared" si="16"/>
        <v>Current</v>
      </c>
      <c r="K265" s="3">
        <v>30</v>
      </c>
      <c r="L265" s="2" t="s">
        <v>745</v>
      </c>
      <c r="M265" t="str">
        <f t="shared" si="17"/>
        <v>Middle Aged</v>
      </c>
      <c r="N265" s="2" t="s">
        <v>737</v>
      </c>
      <c r="O265" s="1" t="str">
        <f t="shared" si="18"/>
        <v>High School Or Below</v>
      </c>
      <c r="P265" s="2" t="s">
        <v>735</v>
      </c>
      <c r="Q265" t="str">
        <f t="shared" si="19"/>
        <v>Male</v>
      </c>
    </row>
    <row r="266" spans="1:17" x14ac:dyDescent="0.25">
      <c r="A266" s="1" t="s">
        <v>405</v>
      </c>
      <c r="B266" s="2" t="s">
        <v>11</v>
      </c>
      <c r="C266" s="3">
        <v>800</v>
      </c>
      <c r="D266" s="3">
        <v>15</v>
      </c>
      <c r="E266" s="18" t="s">
        <v>372</v>
      </c>
      <c r="F266" s="18" t="s">
        <v>377</v>
      </c>
      <c r="G266" s="19" t="s">
        <v>406</v>
      </c>
      <c r="I266" s="2" t="s">
        <v>13</v>
      </c>
      <c r="J266" s="1" t="str">
        <f t="shared" si="16"/>
        <v>Current</v>
      </c>
      <c r="K266" s="3">
        <v>23</v>
      </c>
      <c r="L266" s="2" t="s">
        <v>746</v>
      </c>
      <c r="M266" t="str">
        <f t="shared" si="17"/>
        <v xml:space="preserve"> Young Adults</v>
      </c>
      <c r="N266" s="2" t="s">
        <v>739</v>
      </c>
      <c r="O266" s="1" t="str">
        <f t="shared" si="18"/>
        <v>College</v>
      </c>
      <c r="P266" s="2" t="s">
        <v>735</v>
      </c>
      <c r="Q266" t="str">
        <f t="shared" si="19"/>
        <v>Male</v>
      </c>
    </row>
    <row r="267" spans="1:17" x14ac:dyDescent="0.25">
      <c r="A267" s="1" t="s">
        <v>407</v>
      </c>
      <c r="B267" s="2" t="s">
        <v>11</v>
      </c>
      <c r="C267" s="3">
        <v>1000</v>
      </c>
      <c r="D267" s="3">
        <v>15</v>
      </c>
      <c r="E267" s="18" t="s">
        <v>372</v>
      </c>
      <c r="F267" s="18" t="s">
        <v>377</v>
      </c>
      <c r="G267" s="19" t="s">
        <v>408</v>
      </c>
      <c r="I267" s="2" t="s">
        <v>13</v>
      </c>
      <c r="J267" s="1" t="str">
        <f t="shared" si="16"/>
        <v>Current</v>
      </c>
      <c r="K267" s="3">
        <v>34</v>
      </c>
      <c r="L267" s="2" t="s">
        <v>743</v>
      </c>
      <c r="M267" t="str">
        <f t="shared" si="17"/>
        <v>Mature</v>
      </c>
      <c r="N267" s="2" t="s">
        <v>738</v>
      </c>
      <c r="O267" s="1" t="str">
        <f t="shared" si="18"/>
        <v>Bachelor</v>
      </c>
      <c r="P267" s="2" t="s">
        <v>736</v>
      </c>
      <c r="Q267" t="str">
        <f t="shared" si="19"/>
        <v>Female</v>
      </c>
    </row>
    <row r="268" spans="1:17" x14ac:dyDescent="0.25">
      <c r="A268" s="1" t="s">
        <v>409</v>
      </c>
      <c r="B268" s="2" t="s">
        <v>11</v>
      </c>
      <c r="C268" s="3">
        <v>800</v>
      </c>
      <c r="D268" s="3">
        <v>15</v>
      </c>
      <c r="E268" s="18" t="s">
        <v>372</v>
      </c>
      <c r="F268" s="18" t="s">
        <v>377</v>
      </c>
      <c r="G268" s="19" t="s">
        <v>410</v>
      </c>
      <c r="I268" s="2" t="s">
        <v>13</v>
      </c>
      <c r="J268" s="1" t="str">
        <f t="shared" si="16"/>
        <v>Current</v>
      </c>
      <c r="K268" s="3">
        <v>31</v>
      </c>
      <c r="L268" s="2" t="s">
        <v>745</v>
      </c>
      <c r="M268" t="str">
        <f t="shared" si="17"/>
        <v>Middle Aged</v>
      </c>
      <c r="N268" s="2" t="s">
        <v>738</v>
      </c>
      <c r="O268" s="1" t="str">
        <f t="shared" si="18"/>
        <v>Bachelor</v>
      </c>
      <c r="P268" s="2" t="s">
        <v>736</v>
      </c>
      <c r="Q268" t="str">
        <f t="shared" si="19"/>
        <v>Female</v>
      </c>
    </row>
    <row r="269" spans="1:17" x14ac:dyDescent="0.25">
      <c r="A269" s="1" t="s">
        <v>411</v>
      </c>
      <c r="B269" s="2" t="s">
        <v>11</v>
      </c>
      <c r="C269" s="3">
        <v>1000</v>
      </c>
      <c r="D269" s="3">
        <v>15</v>
      </c>
      <c r="E269" s="18" t="s">
        <v>412</v>
      </c>
      <c r="F269" s="18" t="s">
        <v>413</v>
      </c>
      <c r="G269" s="19" t="s">
        <v>414</v>
      </c>
      <c r="I269" s="2" t="s">
        <v>13</v>
      </c>
      <c r="J269" s="1" t="str">
        <f t="shared" si="16"/>
        <v>Current</v>
      </c>
      <c r="K269" s="3">
        <v>24</v>
      </c>
      <c r="L269" s="2" t="s">
        <v>746</v>
      </c>
      <c r="M269" t="str">
        <f t="shared" si="17"/>
        <v xml:space="preserve"> Young Adults</v>
      </c>
      <c r="N269" s="2" t="s">
        <v>737</v>
      </c>
      <c r="O269" s="1" t="str">
        <f t="shared" si="18"/>
        <v>High School Or Below</v>
      </c>
      <c r="P269" s="2" t="s">
        <v>735</v>
      </c>
      <c r="Q269" t="str">
        <f t="shared" si="19"/>
        <v>Male</v>
      </c>
    </row>
    <row r="270" spans="1:17" x14ac:dyDescent="0.25">
      <c r="A270" s="1" t="s">
        <v>415</v>
      </c>
      <c r="B270" s="2" t="s">
        <v>11</v>
      </c>
      <c r="C270" s="3">
        <v>1000</v>
      </c>
      <c r="D270" s="3">
        <v>30</v>
      </c>
      <c r="E270" s="18" t="s">
        <v>412</v>
      </c>
      <c r="F270" s="18" t="s">
        <v>416</v>
      </c>
      <c r="G270" s="19" t="s">
        <v>417</v>
      </c>
      <c r="I270" s="2" t="s">
        <v>13</v>
      </c>
      <c r="J270" s="1" t="str">
        <f t="shared" si="16"/>
        <v>Current</v>
      </c>
      <c r="K270" s="3">
        <v>42</v>
      </c>
      <c r="L270" s="2" t="s">
        <v>743</v>
      </c>
      <c r="M270" t="str">
        <f t="shared" si="17"/>
        <v>Mature</v>
      </c>
      <c r="N270" s="2" t="s">
        <v>737</v>
      </c>
      <c r="O270" s="1" t="str">
        <f t="shared" si="18"/>
        <v>High School Or Below</v>
      </c>
      <c r="P270" s="2" t="s">
        <v>735</v>
      </c>
      <c r="Q270" t="str">
        <f t="shared" si="19"/>
        <v>Male</v>
      </c>
    </row>
    <row r="271" spans="1:17" x14ac:dyDescent="0.25">
      <c r="A271" s="1" t="s">
        <v>418</v>
      </c>
      <c r="B271" s="2" t="s">
        <v>11</v>
      </c>
      <c r="C271" s="3">
        <v>800</v>
      </c>
      <c r="D271" s="3">
        <v>30</v>
      </c>
      <c r="E271" s="18" t="s">
        <v>412</v>
      </c>
      <c r="F271" s="18" t="s">
        <v>416</v>
      </c>
      <c r="G271" s="19">
        <v>42531.506249999999</v>
      </c>
      <c r="I271" s="2" t="s">
        <v>13</v>
      </c>
      <c r="J271" s="1" t="str">
        <f t="shared" si="16"/>
        <v>Current</v>
      </c>
      <c r="K271" s="3">
        <v>40</v>
      </c>
      <c r="L271" s="2" t="s">
        <v>743</v>
      </c>
      <c r="M271" t="str">
        <f t="shared" si="17"/>
        <v>Mature</v>
      </c>
      <c r="N271" s="2" t="s">
        <v>739</v>
      </c>
      <c r="O271" s="1" t="str">
        <f t="shared" si="18"/>
        <v>College</v>
      </c>
      <c r="P271" s="2" t="s">
        <v>736</v>
      </c>
      <c r="Q271" t="str">
        <f t="shared" si="19"/>
        <v>Female</v>
      </c>
    </row>
    <row r="272" spans="1:17" x14ac:dyDescent="0.25">
      <c r="A272" s="1" t="s">
        <v>419</v>
      </c>
      <c r="B272" s="2" t="s">
        <v>11</v>
      </c>
      <c r="C272" s="3">
        <v>1000</v>
      </c>
      <c r="D272" s="3">
        <v>30</v>
      </c>
      <c r="E272" s="18" t="s">
        <v>412</v>
      </c>
      <c r="F272" s="18" t="s">
        <v>416</v>
      </c>
      <c r="G272" s="19" t="s">
        <v>420</v>
      </c>
      <c r="I272" s="2" t="s">
        <v>13</v>
      </c>
      <c r="J272" s="1" t="str">
        <f t="shared" si="16"/>
        <v>Current</v>
      </c>
      <c r="K272" s="3">
        <v>29</v>
      </c>
      <c r="L272" s="2" t="s">
        <v>745</v>
      </c>
      <c r="M272" t="str">
        <f t="shared" si="17"/>
        <v>Middle Aged</v>
      </c>
      <c r="N272" s="2" t="s">
        <v>737</v>
      </c>
      <c r="O272" s="1" t="str">
        <f t="shared" si="18"/>
        <v>High School Or Below</v>
      </c>
      <c r="P272" s="2" t="s">
        <v>735</v>
      </c>
      <c r="Q272" t="str">
        <f t="shared" si="19"/>
        <v>Male</v>
      </c>
    </row>
    <row r="273" spans="1:17" x14ac:dyDescent="0.25">
      <c r="A273" s="1" t="s">
        <v>421</v>
      </c>
      <c r="B273" s="2" t="s">
        <v>11</v>
      </c>
      <c r="C273" s="3">
        <v>1000</v>
      </c>
      <c r="D273" s="3">
        <v>30</v>
      </c>
      <c r="E273" s="18" t="s">
        <v>412</v>
      </c>
      <c r="F273" s="18" t="s">
        <v>416</v>
      </c>
      <c r="G273" s="19">
        <v>42592.716666666667</v>
      </c>
      <c r="I273" s="2" t="s">
        <v>13</v>
      </c>
      <c r="J273" s="1" t="str">
        <f t="shared" si="16"/>
        <v>Current</v>
      </c>
      <c r="K273" s="3">
        <v>32</v>
      </c>
      <c r="L273" s="2" t="s">
        <v>745</v>
      </c>
      <c r="M273" t="str">
        <f t="shared" si="17"/>
        <v>Middle Aged</v>
      </c>
      <c r="N273" s="2" t="s">
        <v>739</v>
      </c>
      <c r="O273" s="1" t="str">
        <f t="shared" si="18"/>
        <v>College</v>
      </c>
      <c r="P273" s="2" t="s">
        <v>736</v>
      </c>
      <c r="Q273" t="str">
        <f t="shared" si="19"/>
        <v>Female</v>
      </c>
    </row>
    <row r="274" spans="1:17" x14ac:dyDescent="0.25">
      <c r="A274" s="1" t="s">
        <v>422</v>
      </c>
      <c r="B274" s="2" t="s">
        <v>11</v>
      </c>
      <c r="C274" s="3">
        <v>1000</v>
      </c>
      <c r="D274" s="3">
        <v>30</v>
      </c>
      <c r="E274" s="18" t="s">
        <v>412</v>
      </c>
      <c r="F274" s="18">
        <v>42715</v>
      </c>
      <c r="G274" s="19">
        <v>42715.375</v>
      </c>
      <c r="I274" s="2" t="s">
        <v>13</v>
      </c>
      <c r="J274" s="1" t="str">
        <f t="shared" si="16"/>
        <v>Current</v>
      </c>
      <c r="K274" s="3">
        <v>28</v>
      </c>
      <c r="L274" s="2" t="s">
        <v>745</v>
      </c>
      <c r="M274" t="str">
        <f t="shared" si="17"/>
        <v>Middle Aged</v>
      </c>
      <c r="N274" s="2" t="s">
        <v>739</v>
      </c>
      <c r="O274" s="1" t="str">
        <f t="shared" si="18"/>
        <v>College</v>
      </c>
      <c r="P274" s="2" t="s">
        <v>735</v>
      </c>
      <c r="Q274" t="str">
        <f t="shared" si="19"/>
        <v>Male</v>
      </c>
    </row>
    <row r="275" spans="1:17" x14ac:dyDescent="0.25">
      <c r="A275" s="1" t="s">
        <v>423</v>
      </c>
      <c r="B275" s="2" t="s">
        <v>11</v>
      </c>
      <c r="C275" s="3">
        <v>1000</v>
      </c>
      <c r="D275" s="3">
        <v>30</v>
      </c>
      <c r="E275" s="18" t="s">
        <v>412</v>
      </c>
      <c r="F275" s="18" t="s">
        <v>416</v>
      </c>
      <c r="G275" s="19" t="s">
        <v>417</v>
      </c>
      <c r="I275" s="2" t="s">
        <v>13</v>
      </c>
      <c r="J275" s="1" t="str">
        <f t="shared" si="16"/>
        <v>Current</v>
      </c>
      <c r="K275" s="3">
        <v>35</v>
      </c>
      <c r="L275" s="2" t="s">
        <v>743</v>
      </c>
      <c r="M275" t="str">
        <f t="shared" si="17"/>
        <v>Mature</v>
      </c>
      <c r="N275" s="2" t="s">
        <v>737</v>
      </c>
      <c r="O275" s="1" t="str">
        <f t="shared" si="18"/>
        <v>High School Or Below</v>
      </c>
      <c r="P275" s="2" t="s">
        <v>735</v>
      </c>
      <c r="Q275" t="str">
        <f t="shared" si="19"/>
        <v>Male</v>
      </c>
    </row>
    <row r="276" spans="1:17" x14ac:dyDescent="0.25">
      <c r="A276" s="1" t="s">
        <v>424</v>
      </c>
      <c r="B276" s="2" t="s">
        <v>11</v>
      </c>
      <c r="C276" s="3">
        <v>1000</v>
      </c>
      <c r="D276" s="3">
        <v>30</v>
      </c>
      <c r="E276" s="18" t="s">
        <v>412</v>
      </c>
      <c r="F276" s="18" t="s">
        <v>416</v>
      </c>
      <c r="G276" s="19" t="s">
        <v>425</v>
      </c>
      <c r="I276" s="2" t="s">
        <v>13</v>
      </c>
      <c r="J276" s="1" t="str">
        <f t="shared" si="16"/>
        <v>Current</v>
      </c>
      <c r="K276" s="3">
        <v>30</v>
      </c>
      <c r="L276" s="2" t="s">
        <v>745</v>
      </c>
      <c r="M276" t="str">
        <f t="shared" si="17"/>
        <v>Middle Aged</v>
      </c>
      <c r="N276" s="2" t="s">
        <v>738</v>
      </c>
      <c r="O276" s="1" t="str">
        <f t="shared" si="18"/>
        <v>Bachelor</v>
      </c>
      <c r="P276" s="2" t="s">
        <v>735</v>
      </c>
      <c r="Q276" t="str">
        <f t="shared" si="19"/>
        <v>Male</v>
      </c>
    </row>
    <row r="277" spans="1:17" x14ac:dyDescent="0.25">
      <c r="A277" s="1" t="s">
        <v>426</v>
      </c>
      <c r="B277" s="2" t="s">
        <v>11</v>
      </c>
      <c r="C277" s="3">
        <v>800</v>
      </c>
      <c r="D277" s="3">
        <v>15</v>
      </c>
      <c r="E277" s="18" t="s">
        <v>412</v>
      </c>
      <c r="F277" s="18" t="s">
        <v>413</v>
      </c>
      <c r="G277" s="19" t="s">
        <v>427</v>
      </c>
      <c r="I277" s="2" t="s">
        <v>13</v>
      </c>
      <c r="J277" s="1" t="str">
        <f t="shared" si="16"/>
        <v>Current</v>
      </c>
      <c r="K277" s="3">
        <v>44</v>
      </c>
      <c r="L277" s="2" t="s">
        <v>743</v>
      </c>
      <c r="M277" t="str">
        <f t="shared" si="17"/>
        <v>Mature</v>
      </c>
      <c r="N277" s="2" t="s">
        <v>739</v>
      </c>
      <c r="O277" s="1" t="str">
        <f t="shared" si="18"/>
        <v>College</v>
      </c>
      <c r="P277" s="2" t="s">
        <v>735</v>
      </c>
      <c r="Q277" t="str">
        <f t="shared" si="19"/>
        <v>Male</v>
      </c>
    </row>
    <row r="278" spans="1:17" x14ac:dyDescent="0.25">
      <c r="A278" s="1" t="s">
        <v>428</v>
      </c>
      <c r="B278" s="2" t="s">
        <v>11</v>
      </c>
      <c r="C278" s="3">
        <v>800</v>
      </c>
      <c r="D278" s="3">
        <v>15</v>
      </c>
      <c r="E278" s="18" t="s">
        <v>412</v>
      </c>
      <c r="F278" s="18" t="s">
        <v>413</v>
      </c>
      <c r="G278" s="19" t="s">
        <v>429</v>
      </c>
      <c r="I278" s="2" t="s">
        <v>13</v>
      </c>
      <c r="J278" s="1" t="str">
        <f t="shared" si="16"/>
        <v>Current</v>
      </c>
      <c r="K278" s="3">
        <v>37</v>
      </c>
      <c r="L278" s="2" t="s">
        <v>743</v>
      </c>
      <c r="M278" t="str">
        <f t="shared" si="17"/>
        <v>Mature</v>
      </c>
      <c r="N278" s="2" t="s">
        <v>737</v>
      </c>
      <c r="O278" s="1" t="str">
        <f t="shared" si="18"/>
        <v>High School Or Below</v>
      </c>
      <c r="P278" s="2" t="s">
        <v>735</v>
      </c>
      <c r="Q278" t="str">
        <f t="shared" si="19"/>
        <v>Male</v>
      </c>
    </row>
    <row r="279" spans="1:17" x14ac:dyDescent="0.25">
      <c r="A279" s="1" t="s">
        <v>430</v>
      </c>
      <c r="B279" s="2" t="s">
        <v>11</v>
      </c>
      <c r="C279" s="3">
        <v>1000</v>
      </c>
      <c r="D279" s="3">
        <v>30</v>
      </c>
      <c r="E279" s="18" t="s">
        <v>412</v>
      </c>
      <c r="F279" s="18" t="s">
        <v>416</v>
      </c>
      <c r="G279" s="19" t="s">
        <v>417</v>
      </c>
      <c r="I279" s="2" t="s">
        <v>13</v>
      </c>
      <c r="J279" s="1" t="str">
        <f t="shared" si="16"/>
        <v>Current</v>
      </c>
      <c r="K279" s="3">
        <v>31</v>
      </c>
      <c r="L279" s="2" t="s">
        <v>745</v>
      </c>
      <c r="M279" t="str">
        <f t="shared" si="17"/>
        <v>Middle Aged</v>
      </c>
      <c r="N279" s="2" t="s">
        <v>739</v>
      </c>
      <c r="O279" s="1" t="str">
        <f t="shared" si="18"/>
        <v>College</v>
      </c>
      <c r="P279" s="2" t="s">
        <v>735</v>
      </c>
      <c r="Q279" t="str">
        <f t="shared" si="19"/>
        <v>Male</v>
      </c>
    </row>
    <row r="280" spans="1:17" x14ac:dyDescent="0.25">
      <c r="A280" s="1" t="s">
        <v>431</v>
      </c>
      <c r="B280" s="2" t="s">
        <v>11</v>
      </c>
      <c r="C280" s="3">
        <v>800</v>
      </c>
      <c r="D280" s="3">
        <v>15</v>
      </c>
      <c r="E280" s="18" t="s">
        <v>412</v>
      </c>
      <c r="F280" s="18" t="s">
        <v>413</v>
      </c>
      <c r="G280" s="19" t="s">
        <v>432</v>
      </c>
      <c r="I280" s="2" t="s">
        <v>13</v>
      </c>
      <c r="J280" s="1" t="str">
        <f t="shared" si="16"/>
        <v>Current</v>
      </c>
      <c r="K280" s="3">
        <v>36</v>
      </c>
      <c r="L280" s="2" t="s">
        <v>743</v>
      </c>
      <c r="M280" t="str">
        <f t="shared" si="17"/>
        <v>Mature</v>
      </c>
      <c r="N280" s="2" t="s">
        <v>739</v>
      </c>
      <c r="O280" s="1" t="str">
        <f t="shared" si="18"/>
        <v>College</v>
      </c>
      <c r="P280" s="2" t="s">
        <v>735</v>
      </c>
      <c r="Q280" t="str">
        <f t="shared" si="19"/>
        <v>Male</v>
      </c>
    </row>
    <row r="281" spans="1:17" x14ac:dyDescent="0.25">
      <c r="A281" s="1" t="s">
        <v>433</v>
      </c>
      <c r="B281" s="2" t="s">
        <v>11</v>
      </c>
      <c r="C281" s="3">
        <v>800</v>
      </c>
      <c r="D281" s="3">
        <v>30</v>
      </c>
      <c r="E281" s="18" t="s">
        <v>412</v>
      </c>
      <c r="F281" s="18" t="s">
        <v>416</v>
      </c>
      <c r="G281" s="19">
        <v>42653.434027777781</v>
      </c>
      <c r="I281" s="2" t="s">
        <v>13</v>
      </c>
      <c r="J281" s="1" t="str">
        <f t="shared" si="16"/>
        <v>Current</v>
      </c>
      <c r="K281" s="3">
        <v>31</v>
      </c>
      <c r="L281" s="2" t="s">
        <v>745</v>
      </c>
      <c r="M281" t="str">
        <f t="shared" si="17"/>
        <v>Middle Aged</v>
      </c>
      <c r="N281" s="2" t="s">
        <v>739</v>
      </c>
      <c r="O281" s="1" t="str">
        <f t="shared" si="18"/>
        <v>College</v>
      </c>
      <c r="P281" s="2" t="s">
        <v>735</v>
      </c>
      <c r="Q281" t="str">
        <f t="shared" si="19"/>
        <v>Male</v>
      </c>
    </row>
    <row r="282" spans="1:17" x14ac:dyDescent="0.25">
      <c r="A282" s="1" t="s">
        <v>434</v>
      </c>
      <c r="B282" s="2" t="s">
        <v>11</v>
      </c>
      <c r="C282" s="3">
        <v>800</v>
      </c>
      <c r="D282" s="3">
        <v>15</v>
      </c>
      <c r="E282" s="18" t="s">
        <v>412</v>
      </c>
      <c r="F282" s="18" t="s">
        <v>413</v>
      </c>
      <c r="G282" s="19" t="s">
        <v>435</v>
      </c>
      <c r="I282" s="2" t="s">
        <v>13</v>
      </c>
      <c r="J282" s="1" t="str">
        <f t="shared" si="16"/>
        <v>Current</v>
      </c>
      <c r="K282" s="3">
        <v>42</v>
      </c>
      <c r="L282" s="2" t="s">
        <v>743</v>
      </c>
      <c r="M282" t="str">
        <f t="shared" si="17"/>
        <v>Mature</v>
      </c>
      <c r="N282" s="2" t="s">
        <v>737</v>
      </c>
      <c r="O282" s="1" t="str">
        <f t="shared" si="18"/>
        <v>High School Or Below</v>
      </c>
      <c r="P282" s="2" t="s">
        <v>735</v>
      </c>
      <c r="Q282" t="str">
        <f t="shared" si="19"/>
        <v>Male</v>
      </c>
    </row>
    <row r="283" spans="1:17" x14ac:dyDescent="0.25">
      <c r="A283" s="1" t="s">
        <v>436</v>
      </c>
      <c r="B283" s="2" t="s">
        <v>11</v>
      </c>
      <c r="C283" s="3">
        <v>1000</v>
      </c>
      <c r="D283" s="3">
        <v>15</v>
      </c>
      <c r="E283" s="18" t="s">
        <v>412</v>
      </c>
      <c r="F283" s="18" t="s">
        <v>413</v>
      </c>
      <c r="G283" s="19" t="s">
        <v>414</v>
      </c>
      <c r="I283" s="2" t="s">
        <v>13</v>
      </c>
      <c r="J283" s="1" t="str">
        <f t="shared" si="16"/>
        <v>Current</v>
      </c>
      <c r="K283" s="3">
        <v>28</v>
      </c>
      <c r="L283" s="2" t="s">
        <v>745</v>
      </c>
      <c r="M283" t="str">
        <f t="shared" si="17"/>
        <v>Middle Aged</v>
      </c>
      <c r="N283" s="2" t="s">
        <v>738</v>
      </c>
      <c r="O283" s="1" t="str">
        <f t="shared" si="18"/>
        <v>Bachelor</v>
      </c>
      <c r="P283" s="2" t="s">
        <v>735</v>
      </c>
      <c r="Q283" t="str">
        <f t="shared" si="19"/>
        <v>Male</v>
      </c>
    </row>
    <row r="284" spans="1:17" x14ac:dyDescent="0.25">
      <c r="A284" s="1" t="s">
        <v>437</v>
      </c>
      <c r="B284" s="2" t="s">
        <v>11</v>
      </c>
      <c r="C284" s="3">
        <v>1000</v>
      </c>
      <c r="D284" s="3">
        <v>30</v>
      </c>
      <c r="E284" s="18" t="s">
        <v>412</v>
      </c>
      <c r="F284" s="18" t="s">
        <v>416</v>
      </c>
      <c r="G284" s="19">
        <v>42531.285416666666</v>
      </c>
      <c r="I284" s="2" t="s">
        <v>13</v>
      </c>
      <c r="J284" s="1" t="str">
        <f t="shared" si="16"/>
        <v>Current</v>
      </c>
      <c r="K284" s="3">
        <v>30</v>
      </c>
      <c r="L284" s="2" t="s">
        <v>745</v>
      </c>
      <c r="M284" t="str">
        <f t="shared" si="17"/>
        <v>Middle Aged</v>
      </c>
      <c r="N284" s="2" t="s">
        <v>739</v>
      </c>
      <c r="O284" s="1" t="str">
        <f t="shared" si="18"/>
        <v>College</v>
      </c>
      <c r="P284" s="2" t="s">
        <v>735</v>
      </c>
      <c r="Q284" t="str">
        <f t="shared" si="19"/>
        <v>Male</v>
      </c>
    </row>
    <row r="285" spans="1:17" x14ac:dyDescent="0.25">
      <c r="A285" s="1" t="s">
        <v>438</v>
      </c>
      <c r="B285" s="2" t="s">
        <v>11</v>
      </c>
      <c r="C285" s="3">
        <v>1000</v>
      </c>
      <c r="D285" s="3">
        <v>30</v>
      </c>
      <c r="E285" s="18" t="s">
        <v>412</v>
      </c>
      <c r="F285" s="18" t="s">
        <v>416</v>
      </c>
      <c r="G285" s="19">
        <v>42714.267361111109</v>
      </c>
      <c r="I285" s="2" t="s">
        <v>13</v>
      </c>
      <c r="J285" s="1" t="str">
        <f t="shared" si="16"/>
        <v>Current</v>
      </c>
      <c r="K285" s="3">
        <v>30</v>
      </c>
      <c r="L285" s="2" t="s">
        <v>745</v>
      </c>
      <c r="M285" t="str">
        <f t="shared" si="17"/>
        <v>Middle Aged</v>
      </c>
      <c r="N285" s="2" t="s">
        <v>737</v>
      </c>
      <c r="O285" s="1" t="str">
        <f t="shared" si="18"/>
        <v>High School Or Below</v>
      </c>
      <c r="P285" s="2" t="s">
        <v>735</v>
      </c>
      <c r="Q285" t="str">
        <f t="shared" si="19"/>
        <v>Male</v>
      </c>
    </row>
    <row r="286" spans="1:17" x14ac:dyDescent="0.25">
      <c r="A286" s="1" t="s">
        <v>439</v>
      </c>
      <c r="B286" s="2" t="s">
        <v>11</v>
      </c>
      <c r="C286" s="3">
        <v>1000</v>
      </c>
      <c r="D286" s="3">
        <v>15</v>
      </c>
      <c r="E286" s="18" t="s">
        <v>412</v>
      </c>
      <c r="F286" s="18" t="s">
        <v>413</v>
      </c>
      <c r="G286" s="19" t="s">
        <v>440</v>
      </c>
      <c r="I286" s="2" t="s">
        <v>13</v>
      </c>
      <c r="J286" s="1" t="str">
        <f t="shared" si="16"/>
        <v>Current</v>
      </c>
      <c r="K286" s="3">
        <v>24</v>
      </c>
      <c r="L286" s="2" t="s">
        <v>746</v>
      </c>
      <c r="M286" t="str">
        <f t="shared" si="17"/>
        <v xml:space="preserve"> Young Adults</v>
      </c>
      <c r="N286" s="2" t="s">
        <v>738</v>
      </c>
      <c r="O286" s="1" t="str">
        <f t="shared" si="18"/>
        <v>Bachelor</v>
      </c>
      <c r="P286" s="2" t="s">
        <v>735</v>
      </c>
      <c r="Q286" t="str">
        <f t="shared" si="19"/>
        <v>Male</v>
      </c>
    </row>
    <row r="287" spans="1:17" x14ac:dyDescent="0.25">
      <c r="A287" s="1" t="s">
        <v>441</v>
      </c>
      <c r="B287" s="2" t="s">
        <v>11</v>
      </c>
      <c r="C287" s="3">
        <v>1000</v>
      </c>
      <c r="D287" s="3">
        <v>30</v>
      </c>
      <c r="E287" s="18" t="s">
        <v>412</v>
      </c>
      <c r="F287" s="18">
        <v>42715</v>
      </c>
      <c r="G287" s="19">
        <v>42715.375</v>
      </c>
      <c r="I287" s="2" t="s">
        <v>13</v>
      </c>
      <c r="J287" s="1" t="str">
        <f t="shared" si="16"/>
        <v>Current</v>
      </c>
      <c r="K287" s="3">
        <v>34</v>
      </c>
      <c r="L287" s="2" t="s">
        <v>743</v>
      </c>
      <c r="M287" t="str">
        <f t="shared" si="17"/>
        <v>Mature</v>
      </c>
      <c r="N287" s="2" t="s">
        <v>738</v>
      </c>
      <c r="O287" s="1" t="str">
        <f t="shared" si="18"/>
        <v>Bachelor</v>
      </c>
      <c r="P287" s="2" t="s">
        <v>735</v>
      </c>
      <c r="Q287" t="str">
        <f t="shared" si="19"/>
        <v>Male</v>
      </c>
    </row>
    <row r="288" spans="1:17" x14ac:dyDescent="0.25">
      <c r="A288" s="1" t="s">
        <v>442</v>
      </c>
      <c r="B288" s="2" t="s">
        <v>11</v>
      </c>
      <c r="C288" s="3">
        <v>1000</v>
      </c>
      <c r="D288" s="3">
        <v>30</v>
      </c>
      <c r="E288" s="18" t="s">
        <v>412</v>
      </c>
      <c r="F288" s="18" t="s">
        <v>416</v>
      </c>
      <c r="G288" s="19">
        <v>42714.520833333336</v>
      </c>
      <c r="I288" s="2" t="s">
        <v>13</v>
      </c>
      <c r="J288" s="1" t="str">
        <f t="shared" si="16"/>
        <v>Current</v>
      </c>
      <c r="K288" s="3">
        <v>29</v>
      </c>
      <c r="L288" s="2" t="s">
        <v>745</v>
      </c>
      <c r="M288" t="str">
        <f t="shared" si="17"/>
        <v>Middle Aged</v>
      </c>
      <c r="N288" s="2" t="s">
        <v>739</v>
      </c>
      <c r="O288" s="1" t="str">
        <f t="shared" si="18"/>
        <v>College</v>
      </c>
      <c r="P288" s="2" t="s">
        <v>735</v>
      </c>
      <c r="Q288" t="str">
        <f t="shared" si="19"/>
        <v>Male</v>
      </c>
    </row>
    <row r="289" spans="1:17" x14ac:dyDescent="0.25">
      <c r="A289" s="1" t="s">
        <v>443</v>
      </c>
      <c r="B289" s="2" t="s">
        <v>11</v>
      </c>
      <c r="C289" s="3">
        <v>1000</v>
      </c>
      <c r="D289" s="3">
        <v>30</v>
      </c>
      <c r="E289" s="18" t="s">
        <v>412</v>
      </c>
      <c r="F289" s="18" t="s">
        <v>416</v>
      </c>
      <c r="G289" s="19">
        <v>42714.15902777778</v>
      </c>
      <c r="I289" s="2" t="s">
        <v>13</v>
      </c>
      <c r="J289" s="1" t="str">
        <f t="shared" si="16"/>
        <v>Current</v>
      </c>
      <c r="K289" s="3">
        <v>38</v>
      </c>
      <c r="L289" s="2" t="s">
        <v>743</v>
      </c>
      <c r="M289" t="str">
        <f t="shared" si="17"/>
        <v>Mature</v>
      </c>
      <c r="N289" s="2" t="s">
        <v>737</v>
      </c>
      <c r="O289" s="1" t="str">
        <f t="shared" si="18"/>
        <v>High School Or Below</v>
      </c>
      <c r="P289" s="2" t="s">
        <v>736</v>
      </c>
      <c r="Q289" t="str">
        <f t="shared" si="19"/>
        <v>Female</v>
      </c>
    </row>
    <row r="290" spans="1:17" x14ac:dyDescent="0.25">
      <c r="A290" s="1" t="s">
        <v>444</v>
      </c>
      <c r="B290" s="2" t="s">
        <v>11</v>
      </c>
      <c r="C290" s="3">
        <v>1000</v>
      </c>
      <c r="D290" s="3">
        <v>30</v>
      </c>
      <c r="E290" s="18" t="s">
        <v>412</v>
      </c>
      <c r="F290" s="18" t="s">
        <v>416</v>
      </c>
      <c r="G290" s="19" t="s">
        <v>425</v>
      </c>
      <c r="I290" s="2" t="s">
        <v>13</v>
      </c>
      <c r="J290" s="1" t="str">
        <f t="shared" si="16"/>
        <v>Current</v>
      </c>
      <c r="K290" s="3">
        <v>34</v>
      </c>
      <c r="L290" s="2" t="s">
        <v>743</v>
      </c>
      <c r="M290" t="str">
        <f t="shared" si="17"/>
        <v>Mature</v>
      </c>
      <c r="N290" s="2" t="s">
        <v>738</v>
      </c>
      <c r="O290" s="1" t="str">
        <f t="shared" si="18"/>
        <v>Bachelor</v>
      </c>
      <c r="P290" s="2" t="s">
        <v>735</v>
      </c>
      <c r="Q290" t="str">
        <f t="shared" si="19"/>
        <v>Male</v>
      </c>
    </row>
    <row r="291" spans="1:17" x14ac:dyDescent="0.25">
      <c r="A291" s="1" t="s">
        <v>445</v>
      </c>
      <c r="B291" s="2" t="s">
        <v>11</v>
      </c>
      <c r="C291" s="3">
        <v>800</v>
      </c>
      <c r="D291" s="3">
        <v>15</v>
      </c>
      <c r="E291" s="18" t="s">
        <v>412</v>
      </c>
      <c r="F291" s="18" t="s">
        <v>413</v>
      </c>
      <c r="G291" s="19" t="s">
        <v>446</v>
      </c>
      <c r="I291" s="2" t="s">
        <v>13</v>
      </c>
      <c r="J291" s="1" t="str">
        <f t="shared" si="16"/>
        <v>Current</v>
      </c>
      <c r="K291" s="3">
        <v>28</v>
      </c>
      <c r="L291" s="2" t="s">
        <v>745</v>
      </c>
      <c r="M291" t="str">
        <f t="shared" si="17"/>
        <v>Middle Aged</v>
      </c>
      <c r="N291" s="2" t="s">
        <v>737</v>
      </c>
      <c r="O291" s="1" t="str">
        <f t="shared" si="18"/>
        <v>High School Or Below</v>
      </c>
      <c r="P291" s="2" t="s">
        <v>735</v>
      </c>
      <c r="Q291" t="str">
        <f t="shared" si="19"/>
        <v>Male</v>
      </c>
    </row>
    <row r="292" spans="1:17" x14ac:dyDescent="0.25">
      <c r="A292" s="1" t="s">
        <v>447</v>
      </c>
      <c r="B292" s="2" t="s">
        <v>11</v>
      </c>
      <c r="C292" s="3">
        <v>1000</v>
      </c>
      <c r="D292" s="3">
        <v>15</v>
      </c>
      <c r="E292" s="18" t="s">
        <v>412</v>
      </c>
      <c r="F292" s="18" t="s">
        <v>413</v>
      </c>
      <c r="G292" s="19" t="s">
        <v>448</v>
      </c>
      <c r="I292" s="2" t="s">
        <v>13</v>
      </c>
      <c r="J292" s="1" t="str">
        <f t="shared" si="16"/>
        <v>Current</v>
      </c>
      <c r="K292" s="3">
        <v>30</v>
      </c>
      <c r="L292" s="2" t="s">
        <v>745</v>
      </c>
      <c r="M292" t="str">
        <f t="shared" si="17"/>
        <v>Middle Aged</v>
      </c>
      <c r="N292" s="2" t="s">
        <v>739</v>
      </c>
      <c r="O292" s="1" t="str">
        <f t="shared" si="18"/>
        <v>College</v>
      </c>
      <c r="P292" s="2" t="s">
        <v>736</v>
      </c>
      <c r="Q292" t="str">
        <f t="shared" si="19"/>
        <v>Female</v>
      </c>
    </row>
    <row r="293" spans="1:17" x14ac:dyDescent="0.25">
      <c r="A293" s="1" t="s">
        <v>449</v>
      </c>
      <c r="B293" s="2" t="s">
        <v>11</v>
      </c>
      <c r="C293" s="3">
        <v>1000</v>
      </c>
      <c r="D293" s="3">
        <v>30</v>
      </c>
      <c r="E293" s="18" t="s">
        <v>412</v>
      </c>
      <c r="F293" s="18" t="s">
        <v>416</v>
      </c>
      <c r="G293" s="19">
        <v>42684.689583333333</v>
      </c>
      <c r="I293" s="2" t="s">
        <v>13</v>
      </c>
      <c r="J293" s="1" t="str">
        <f t="shared" si="16"/>
        <v>Current</v>
      </c>
      <c r="K293" s="3">
        <v>41</v>
      </c>
      <c r="L293" s="2" t="s">
        <v>743</v>
      </c>
      <c r="M293" t="str">
        <f t="shared" si="17"/>
        <v>Mature</v>
      </c>
      <c r="N293" s="2" t="s">
        <v>737</v>
      </c>
      <c r="O293" s="1" t="str">
        <f t="shared" si="18"/>
        <v>High School Or Below</v>
      </c>
      <c r="P293" s="2" t="s">
        <v>735</v>
      </c>
      <c r="Q293" t="str">
        <f t="shared" si="19"/>
        <v>Male</v>
      </c>
    </row>
    <row r="294" spans="1:17" x14ac:dyDescent="0.25">
      <c r="A294" s="1" t="s">
        <v>450</v>
      </c>
      <c r="B294" s="2" t="s">
        <v>11</v>
      </c>
      <c r="C294" s="3">
        <v>1000</v>
      </c>
      <c r="D294" s="3">
        <v>30</v>
      </c>
      <c r="E294" s="18" t="s">
        <v>412</v>
      </c>
      <c r="F294" s="18" t="s">
        <v>416</v>
      </c>
      <c r="G294" s="19" t="s">
        <v>451</v>
      </c>
      <c r="I294" s="2" t="s">
        <v>13</v>
      </c>
      <c r="J294" s="1" t="str">
        <f t="shared" si="16"/>
        <v>Current</v>
      </c>
      <c r="K294" s="3">
        <v>29</v>
      </c>
      <c r="L294" s="2" t="s">
        <v>745</v>
      </c>
      <c r="M294" t="str">
        <f t="shared" si="17"/>
        <v>Middle Aged</v>
      </c>
      <c r="N294" s="2" t="s">
        <v>739</v>
      </c>
      <c r="O294" s="1" t="str">
        <f t="shared" si="18"/>
        <v>College</v>
      </c>
      <c r="P294" s="2" t="s">
        <v>735</v>
      </c>
      <c r="Q294" t="str">
        <f t="shared" si="19"/>
        <v>Male</v>
      </c>
    </row>
    <row r="295" spans="1:17" x14ac:dyDescent="0.25">
      <c r="A295" s="1" t="s">
        <v>452</v>
      </c>
      <c r="B295" s="2" t="s">
        <v>11</v>
      </c>
      <c r="C295" s="3">
        <v>1000</v>
      </c>
      <c r="D295" s="3">
        <v>30</v>
      </c>
      <c r="E295" s="18" t="s">
        <v>412</v>
      </c>
      <c r="F295" s="18" t="s">
        <v>416</v>
      </c>
      <c r="G295" s="19" t="s">
        <v>417</v>
      </c>
      <c r="I295" s="2" t="s">
        <v>13</v>
      </c>
      <c r="J295" s="1" t="str">
        <f t="shared" si="16"/>
        <v>Current</v>
      </c>
      <c r="K295" s="3">
        <v>37</v>
      </c>
      <c r="L295" s="2" t="s">
        <v>743</v>
      </c>
      <c r="M295" t="str">
        <f t="shared" si="17"/>
        <v>Mature</v>
      </c>
      <c r="N295" s="2" t="s">
        <v>737</v>
      </c>
      <c r="O295" s="1" t="str">
        <f t="shared" si="18"/>
        <v>High School Or Below</v>
      </c>
      <c r="P295" s="2" t="s">
        <v>735</v>
      </c>
      <c r="Q295" t="str">
        <f t="shared" si="19"/>
        <v>Male</v>
      </c>
    </row>
    <row r="296" spans="1:17" x14ac:dyDescent="0.25">
      <c r="A296" s="1" t="s">
        <v>453</v>
      </c>
      <c r="B296" s="2" t="s">
        <v>11</v>
      </c>
      <c r="C296" s="3">
        <v>1000</v>
      </c>
      <c r="D296" s="3">
        <v>30</v>
      </c>
      <c r="E296" s="18" t="s">
        <v>412</v>
      </c>
      <c r="F296" s="18" t="s">
        <v>416</v>
      </c>
      <c r="G296" s="19" t="s">
        <v>425</v>
      </c>
      <c r="I296" s="2" t="s">
        <v>13</v>
      </c>
      <c r="J296" s="1" t="str">
        <f t="shared" si="16"/>
        <v>Current</v>
      </c>
      <c r="K296" s="3">
        <v>36</v>
      </c>
      <c r="L296" s="2" t="s">
        <v>743</v>
      </c>
      <c r="M296" t="str">
        <f t="shared" si="17"/>
        <v>Mature</v>
      </c>
      <c r="N296" s="2" t="s">
        <v>738</v>
      </c>
      <c r="O296" s="1" t="str">
        <f t="shared" si="18"/>
        <v>Bachelor</v>
      </c>
      <c r="P296" s="2" t="s">
        <v>735</v>
      </c>
      <c r="Q296" t="str">
        <f t="shared" si="19"/>
        <v>Male</v>
      </c>
    </row>
    <row r="297" spans="1:17" x14ac:dyDescent="0.25">
      <c r="A297" s="1" t="s">
        <v>454</v>
      </c>
      <c r="B297" s="2" t="s">
        <v>11</v>
      </c>
      <c r="C297" s="3">
        <v>1000</v>
      </c>
      <c r="D297" s="3">
        <v>30</v>
      </c>
      <c r="E297" s="18" t="s">
        <v>412</v>
      </c>
      <c r="F297" s="18" t="s">
        <v>416</v>
      </c>
      <c r="G297" s="19" t="s">
        <v>425</v>
      </c>
      <c r="I297" s="2" t="s">
        <v>13</v>
      </c>
      <c r="J297" s="1" t="str">
        <f t="shared" si="16"/>
        <v>Current</v>
      </c>
      <c r="K297" s="3">
        <v>30</v>
      </c>
      <c r="L297" s="2" t="s">
        <v>745</v>
      </c>
      <c r="M297" t="str">
        <f t="shared" si="17"/>
        <v>Middle Aged</v>
      </c>
      <c r="N297" s="2" t="s">
        <v>739</v>
      </c>
      <c r="O297" s="1" t="str">
        <f t="shared" si="18"/>
        <v>College</v>
      </c>
      <c r="P297" s="2" t="s">
        <v>736</v>
      </c>
      <c r="Q297" t="str">
        <f t="shared" si="19"/>
        <v>Female</v>
      </c>
    </row>
    <row r="298" spans="1:17" x14ac:dyDescent="0.25">
      <c r="A298" s="1" t="s">
        <v>455</v>
      </c>
      <c r="B298" s="2" t="s">
        <v>11</v>
      </c>
      <c r="C298" s="3">
        <v>800</v>
      </c>
      <c r="D298" s="3">
        <v>15</v>
      </c>
      <c r="E298" s="18" t="s">
        <v>412</v>
      </c>
      <c r="F298" s="18" t="s">
        <v>413</v>
      </c>
      <c r="G298" s="19" t="s">
        <v>456</v>
      </c>
      <c r="I298" s="2" t="s">
        <v>13</v>
      </c>
      <c r="J298" s="1" t="str">
        <f t="shared" si="16"/>
        <v>Current</v>
      </c>
      <c r="K298" s="3">
        <v>27</v>
      </c>
      <c r="L298" s="2" t="s">
        <v>745</v>
      </c>
      <c r="M298" t="str">
        <f t="shared" si="17"/>
        <v>Middle Aged</v>
      </c>
      <c r="N298" s="2" t="s">
        <v>739</v>
      </c>
      <c r="O298" s="1" t="str">
        <f t="shared" si="18"/>
        <v>College</v>
      </c>
      <c r="P298" s="2" t="s">
        <v>735</v>
      </c>
      <c r="Q298" t="str">
        <f t="shared" si="19"/>
        <v>Male</v>
      </c>
    </row>
    <row r="299" spans="1:17" x14ac:dyDescent="0.25">
      <c r="A299" s="1" t="s">
        <v>457</v>
      </c>
      <c r="B299" s="2" t="s">
        <v>11</v>
      </c>
      <c r="C299" s="3">
        <v>1000</v>
      </c>
      <c r="D299" s="3">
        <v>30</v>
      </c>
      <c r="E299" s="18" t="s">
        <v>412</v>
      </c>
      <c r="F299" s="18" t="s">
        <v>416</v>
      </c>
      <c r="G299" s="19" t="s">
        <v>417</v>
      </c>
      <c r="I299" s="2" t="s">
        <v>13</v>
      </c>
      <c r="J299" s="1" t="str">
        <f t="shared" si="16"/>
        <v>Current</v>
      </c>
      <c r="K299" s="3">
        <v>29</v>
      </c>
      <c r="L299" s="2" t="s">
        <v>745</v>
      </c>
      <c r="M299" t="str">
        <f t="shared" si="17"/>
        <v>Middle Aged</v>
      </c>
      <c r="N299" s="2" t="s">
        <v>737</v>
      </c>
      <c r="O299" s="1" t="str">
        <f t="shared" si="18"/>
        <v>High School Or Below</v>
      </c>
      <c r="P299" s="2" t="s">
        <v>735</v>
      </c>
      <c r="Q299" t="str">
        <f t="shared" si="19"/>
        <v>Male</v>
      </c>
    </row>
    <row r="300" spans="1:17" x14ac:dyDescent="0.25">
      <c r="A300" s="1" t="s">
        <v>458</v>
      </c>
      <c r="B300" s="2" t="s">
        <v>11</v>
      </c>
      <c r="C300" s="3">
        <v>1000</v>
      </c>
      <c r="D300" s="3">
        <v>30</v>
      </c>
      <c r="E300" s="18" t="s">
        <v>412</v>
      </c>
      <c r="F300" s="18" t="s">
        <v>416</v>
      </c>
      <c r="G300" s="19" t="s">
        <v>417</v>
      </c>
      <c r="I300" s="2" t="s">
        <v>13</v>
      </c>
      <c r="J300" s="1" t="str">
        <f t="shared" si="16"/>
        <v>Current</v>
      </c>
      <c r="K300" s="3">
        <v>40</v>
      </c>
      <c r="L300" s="2" t="s">
        <v>743</v>
      </c>
      <c r="M300" t="str">
        <f t="shared" si="17"/>
        <v>Mature</v>
      </c>
      <c r="N300" s="2" t="s">
        <v>737</v>
      </c>
      <c r="O300" s="1" t="str">
        <f t="shared" si="18"/>
        <v>High School Or Below</v>
      </c>
      <c r="P300" s="2" t="s">
        <v>735</v>
      </c>
      <c r="Q300" t="str">
        <f t="shared" si="19"/>
        <v>Male</v>
      </c>
    </row>
    <row r="301" spans="1:17" x14ac:dyDescent="0.25">
      <c r="A301" s="1" t="s">
        <v>459</v>
      </c>
      <c r="B301" s="2" t="s">
        <v>11</v>
      </c>
      <c r="C301" s="3">
        <v>1000</v>
      </c>
      <c r="D301" s="3">
        <v>30</v>
      </c>
      <c r="E301" s="18" t="s">
        <v>412</v>
      </c>
      <c r="F301" s="18" t="s">
        <v>416</v>
      </c>
      <c r="G301" s="19" t="s">
        <v>460</v>
      </c>
      <c r="I301" s="2" t="s">
        <v>13</v>
      </c>
      <c r="J301" s="1" t="str">
        <f t="shared" si="16"/>
        <v>Current</v>
      </c>
      <c r="K301" s="3">
        <v>28</v>
      </c>
      <c r="L301" s="2" t="s">
        <v>745</v>
      </c>
      <c r="M301" t="str">
        <f t="shared" si="17"/>
        <v>Middle Aged</v>
      </c>
      <c r="N301" s="2" t="s">
        <v>739</v>
      </c>
      <c r="O301" s="1" t="str">
        <f t="shared" si="18"/>
        <v>College</v>
      </c>
      <c r="P301" s="2" t="s">
        <v>735</v>
      </c>
      <c r="Q301" t="str">
        <f t="shared" si="19"/>
        <v>Male</v>
      </c>
    </row>
    <row r="302" spans="1:17" x14ac:dyDescent="0.25">
      <c r="A302" s="1" t="s">
        <v>461</v>
      </c>
      <c r="B302" s="2" t="s">
        <v>462</v>
      </c>
      <c r="C302" s="3">
        <v>1000</v>
      </c>
      <c r="D302" s="3">
        <v>15</v>
      </c>
      <c r="E302" s="18">
        <v>42622</v>
      </c>
      <c r="F302" s="18" t="s">
        <v>463</v>
      </c>
      <c r="H302" s="3">
        <v>76</v>
      </c>
      <c r="I302" s="2" t="s">
        <v>729</v>
      </c>
      <c r="J302" s="1" t="str">
        <f t="shared" si="16"/>
        <v>40 - 80 Days</v>
      </c>
      <c r="K302" s="3">
        <v>29</v>
      </c>
      <c r="L302" s="2" t="s">
        <v>745</v>
      </c>
      <c r="M302" t="str">
        <f t="shared" si="17"/>
        <v>Middle Aged</v>
      </c>
      <c r="N302" s="2" t="s">
        <v>739</v>
      </c>
      <c r="O302" s="1" t="str">
        <f t="shared" si="18"/>
        <v>College</v>
      </c>
      <c r="P302" s="2" t="s">
        <v>735</v>
      </c>
      <c r="Q302" t="str">
        <f t="shared" si="19"/>
        <v>Male</v>
      </c>
    </row>
    <row r="303" spans="1:17" x14ac:dyDescent="0.25">
      <c r="A303" s="1" t="s">
        <v>464</v>
      </c>
      <c r="B303" s="2" t="s">
        <v>462</v>
      </c>
      <c r="C303" s="3">
        <v>1000</v>
      </c>
      <c r="D303" s="3">
        <v>30</v>
      </c>
      <c r="E303" s="18">
        <v>42622</v>
      </c>
      <c r="F303" s="18">
        <v>42592</v>
      </c>
      <c r="H303" s="3">
        <v>61</v>
      </c>
      <c r="I303" s="2" t="s">
        <v>729</v>
      </c>
      <c r="J303" s="1" t="str">
        <f t="shared" si="16"/>
        <v>40 - 80 Days</v>
      </c>
      <c r="K303" s="3">
        <v>37</v>
      </c>
      <c r="L303" s="2" t="s">
        <v>743</v>
      </c>
      <c r="M303" t="str">
        <f t="shared" si="17"/>
        <v>Mature</v>
      </c>
      <c r="N303" s="2" t="s">
        <v>737</v>
      </c>
      <c r="O303" s="1" t="str">
        <f t="shared" si="18"/>
        <v>High School Or Below</v>
      </c>
      <c r="P303" s="2" t="s">
        <v>735</v>
      </c>
      <c r="Q303" t="str">
        <f t="shared" si="19"/>
        <v>Male</v>
      </c>
    </row>
    <row r="304" spans="1:17" x14ac:dyDescent="0.25">
      <c r="A304" s="1" t="s">
        <v>465</v>
      </c>
      <c r="B304" s="2" t="s">
        <v>462</v>
      </c>
      <c r="C304" s="3">
        <v>1000</v>
      </c>
      <c r="D304" s="3">
        <v>30</v>
      </c>
      <c r="E304" s="18">
        <v>42622</v>
      </c>
      <c r="F304" s="18">
        <v>42592</v>
      </c>
      <c r="H304" s="3">
        <v>61</v>
      </c>
      <c r="I304" s="2" t="s">
        <v>729</v>
      </c>
      <c r="J304" s="1" t="str">
        <f t="shared" si="16"/>
        <v>40 - 80 Days</v>
      </c>
      <c r="K304" s="3">
        <v>33</v>
      </c>
      <c r="L304" s="2" t="s">
        <v>745</v>
      </c>
      <c r="M304" t="str">
        <f t="shared" si="17"/>
        <v>Middle Aged</v>
      </c>
      <c r="N304" s="2" t="s">
        <v>737</v>
      </c>
      <c r="O304" s="1" t="str">
        <f t="shared" si="18"/>
        <v>High School Or Below</v>
      </c>
      <c r="P304" s="2" t="s">
        <v>735</v>
      </c>
      <c r="Q304" t="str">
        <f t="shared" si="19"/>
        <v>Male</v>
      </c>
    </row>
    <row r="305" spans="1:17" x14ac:dyDescent="0.25">
      <c r="A305" s="1" t="s">
        <v>466</v>
      </c>
      <c r="B305" s="2" t="s">
        <v>462</v>
      </c>
      <c r="C305" s="3">
        <v>800</v>
      </c>
      <c r="D305" s="3">
        <v>15</v>
      </c>
      <c r="E305" s="18">
        <v>42622</v>
      </c>
      <c r="F305" s="18" t="s">
        <v>463</v>
      </c>
      <c r="H305" s="3">
        <v>76</v>
      </c>
      <c r="I305" s="2" t="s">
        <v>729</v>
      </c>
      <c r="J305" s="1" t="str">
        <f t="shared" si="16"/>
        <v>40 - 80 Days</v>
      </c>
      <c r="K305" s="3">
        <v>27</v>
      </c>
      <c r="L305" s="2" t="s">
        <v>745</v>
      </c>
      <c r="M305" t="str">
        <f t="shared" si="17"/>
        <v>Middle Aged</v>
      </c>
      <c r="N305" s="2" t="s">
        <v>739</v>
      </c>
      <c r="O305" s="1" t="str">
        <f t="shared" si="18"/>
        <v>College</v>
      </c>
      <c r="P305" s="2" t="s">
        <v>735</v>
      </c>
      <c r="Q305" t="str">
        <f t="shared" si="19"/>
        <v>Male</v>
      </c>
    </row>
    <row r="306" spans="1:17" x14ac:dyDescent="0.25">
      <c r="A306" s="1" t="s">
        <v>467</v>
      </c>
      <c r="B306" s="2" t="s">
        <v>462</v>
      </c>
      <c r="C306" s="3">
        <v>800</v>
      </c>
      <c r="D306" s="3">
        <v>15</v>
      </c>
      <c r="E306" s="18">
        <v>42622</v>
      </c>
      <c r="F306" s="18" t="s">
        <v>463</v>
      </c>
      <c r="H306" s="3">
        <v>76</v>
      </c>
      <c r="I306" s="2" t="s">
        <v>729</v>
      </c>
      <c r="J306" s="1" t="str">
        <f t="shared" si="16"/>
        <v>40 - 80 Days</v>
      </c>
      <c r="K306" s="3">
        <v>24</v>
      </c>
      <c r="L306" s="2" t="s">
        <v>746</v>
      </c>
      <c r="M306" t="str">
        <f t="shared" si="17"/>
        <v xml:space="preserve"> Young Adults</v>
      </c>
      <c r="N306" s="2" t="s">
        <v>738</v>
      </c>
      <c r="O306" s="1" t="str">
        <f t="shared" si="18"/>
        <v>Bachelor</v>
      </c>
      <c r="P306" s="2" t="s">
        <v>735</v>
      </c>
      <c r="Q306" t="str">
        <f t="shared" si="19"/>
        <v>Male</v>
      </c>
    </row>
    <row r="307" spans="1:17" x14ac:dyDescent="0.25">
      <c r="A307" s="1" t="s">
        <v>468</v>
      </c>
      <c r="B307" s="2" t="s">
        <v>462</v>
      </c>
      <c r="C307" s="3">
        <v>1000</v>
      </c>
      <c r="D307" s="3">
        <v>15</v>
      </c>
      <c r="E307" s="18">
        <v>42652</v>
      </c>
      <c r="F307" s="18" t="s">
        <v>39</v>
      </c>
      <c r="H307" s="3">
        <v>75</v>
      </c>
      <c r="I307" s="2" t="s">
        <v>729</v>
      </c>
      <c r="J307" s="1" t="str">
        <f t="shared" si="16"/>
        <v>40 - 80 Days</v>
      </c>
      <c r="K307" s="3">
        <v>31</v>
      </c>
      <c r="L307" s="2" t="s">
        <v>745</v>
      </c>
      <c r="M307" t="str">
        <f t="shared" si="17"/>
        <v>Middle Aged</v>
      </c>
      <c r="N307" s="2" t="s">
        <v>737</v>
      </c>
      <c r="O307" s="1" t="str">
        <f t="shared" si="18"/>
        <v>High School Or Below</v>
      </c>
      <c r="P307" s="2" t="s">
        <v>736</v>
      </c>
      <c r="Q307" t="str">
        <f t="shared" si="19"/>
        <v>Female</v>
      </c>
    </row>
    <row r="308" spans="1:17" x14ac:dyDescent="0.25">
      <c r="A308" s="1" t="s">
        <v>469</v>
      </c>
      <c r="B308" s="2" t="s">
        <v>462</v>
      </c>
      <c r="C308" s="3">
        <v>800</v>
      </c>
      <c r="D308" s="3">
        <v>15</v>
      </c>
      <c r="E308" s="18">
        <v>42652</v>
      </c>
      <c r="F308" s="18">
        <v>42623</v>
      </c>
      <c r="H308" s="3">
        <v>60</v>
      </c>
      <c r="I308" s="2" t="s">
        <v>729</v>
      </c>
      <c r="J308" s="1" t="str">
        <f t="shared" si="16"/>
        <v>40 - 80 Days</v>
      </c>
      <c r="K308" s="3">
        <v>28</v>
      </c>
      <c r="L308" s="2" t="s">
        <v>745</v>
      </c>
      <c r="M308" t="str">
        <f t="shared" si="17"/>
        <v>Middle Aged</v>
      </c>
      <c r="N308" s="2" t="s">
        <v>739</v>
      </c>
      <c r="O308" s="1" t="str">
        <f t="shared" si="18"/>
        <v>College</v>
      </c>
      <c r="P308" s="2" t="s">
        <v>735</v>
      </c>
      <c r="Q308" t="str">
        <f t="shared" si="19"/>
        <v>Male</v>
      </c>
    </row>
    <row r="309" spans="1:17" x14ac:dyDescent="0.25">
      <c r="A309" s="1" t="s">
        <v>470</v>
      </c>
      <c r="B309" s="2" t="s">
        <v>462</v>
      </c>
      <c r="C309" s="3">
        <v>1000</v>
      </c>
      <c r="D309" s="3">
        <v>30</v>
      </c>
      <c r="E309" s="18">
        <v>42652</v>
      </c>
      <c r="F309" s="18">
        <v>42623</v>
      </c>
      <c r="H309" s="3">
        <v>60</v>
      </c>
      <c r="I309" s="2" t="s">
        <v>729</v>
      </c>
      <c r="J309" s="1" t="str">
        <f t="shared" si="16"/>
        <v>40 - 80 Days</v>
      </c>
      <c r="K309" s="3">
        <v>40</v>
      </c>
      <c r="L309" s="2" t="s">
        <v>743</v>
      </c>
      <c r="M309" t="str">
        <f t="shared" si="17"/>
        <v>Mature</v>
      </c>
      <c r="N309" s="2" t="s">
        <v>737</v>
      </c>
      <c r="O309" s="1" t="str">
        <f t="shared" si="18"/>
        <v>High School Or Below</v>
      </c>
      <c r="P309" s="2" t="s">
        <v>735</v>
      </c>
      <c r="Q309" t="str">
        <f t="shared" si="19"/>
        <v>Male</v>
      </c>
    </row>
    <row r="310" spans="1:17" x14ac:dyDescent="0.25">
      <c r="A310" s="1" t="s">
        <v>471</v>
      </c>
      <c r="B310" s="2" t="s">
        <v>462</v>
      </c>
      <c r="C310" s="3">
        <v>1000</v>
      </c>
      <c r="D310" s="3">
        <v>30</v>
      </c>
      <c r="E310" s="18">
        <v>42652</v>
      </c>
      <c r="F310" s="18">
        <v>42623</v>
      </c>
      <c r="H310" s="3">
        <v>60</v>
      </c>
      <c r="I310" s="2" t="s">
        <v>729</v>
      </c>
      <c r="J310" s="1" t="str">
        <f t="shared" si="16"/>
        <v>40 - 80 Days</v>
      </c>
      <c r="K310" s="3">
        <v>33</v>
      </c>
      <c r="L310" s="2" t="s">
        <v>745</v>
      </c>
      <c r="M310" t="str">
        <f t="shared" si="17"/>
        <v>Middle Aged</v>
      </c>
      <c r="N310" s="2" t="s">
        <v>739</v>
      </c>
      <c r="O310" s="1" t="str">
        <f t="shared" si="18"/>
        <v>College</v>
      </c>
      <c r="P310" s="2" t="s">
        <v>735</v>
      </c>
      <c r="Q310" t="str">
        <f t="shared" si="19"/>
        <v>Male</v>
      </c>
    </row>
    <row r="311" spans="1:17" x14ac:dyDescent="0.25">
      <c r="A311" s="1" t="s">
        <v>472</v>
      </c>
      <c r="B311" s="2" t="s">
        <v>462</v>
      </c>
      <c r="C311" s="3">
        <v>800</v>
      </c>
      <c r="D311" s="3">
        <v>15</v>
      </c>
      <c r="E311" s="18">
        <v>42652</v>
      </c>
      <c r="F311" s="18" t="s">
        <v>39</v>
      </c>
      <c r="H311" s="3">
        <v>75</v>
      </c>
      <c r="I311" s="2" t="s">
        <v>729</v>
      </c>
      <c r="J311" s="1" t="str">
        <f t="shared" si="16"/>
        <v>40 - 80 Days</v>
      </c>
      <c r="K311" s="3">
        <v>41</v>
      </c>
      <c r="L311" s="2" t="s">
        <v>743</v>
      </c>
      <c r="M311" t="str">
        <f t="shared" si="17"/>
        <v>Mature</v>
      </c>
      <c r="N311" s="2" t="s">
        <v>739</v>
      </c>
      <c r="O311" s="1" t="str">
        <f t="shared" si="18"/>
        <v>College</v>
      </c>
      <c r="P311" s="2" t="s">
        <v>735</v>
      </c>
      <c r="Q311" t="str">
        <f t="shared" si="19"/>
        <v>Male</v>
      </c>
    </row>
    <row r="312" spans="1:17" x14ac:dyDescent="0.25">
      <c r="A312" s="1" t="s">
        <v>473</v>
      </c>
      <c r="B312" s="2" t="s">
        <v>462</v>
      </c>
      <c r="C312" s="3">
        <v>1000</v>
      </c>
      <c r="D312" s="3">
        <v>30</v>
      </c>
      <c r="E312" s="18">
        <v>42652</v>
      </c>
      <c r="F312" s="18">
        <v>42623</v>
      </c>
      <c r="H312" s="3">
        <v>60</v>
      </c>
      <c r="I312" s="2" t="s">
        <v>729</v>
      </c>
      <c r="J312" s="1" t="str">
        <f t="shared" si="16"/>
        <v>40 - 80 Days</v>
      </c>
      <c r="K312" s="3">
        <v>30</v>
      </c>
      <c r="L312" s="2" t="s">
        <v>745</v>
      </c>
      <c r="M312" t="str">
        <f t="shared" si="17"/>
        <v>Middle Aged</v>
      </c>
      <c r="N312" s="2" t="s">
        <v>739</v>
      </c>
      <c r="O312" s="1" t="str">
        <f t="shared" si="18"/>
        <v>College</v>
      </c>
      <c r="P312" s="2" t="s">
        <v>735</v>
      </c>
      <c r="Q312" t="str">
        <f t="shared" si="19"/>
        <v>Male</v>
      </c>
    </row>
    <row r="313" spans="1:17" x14ac:dyDescent="0.25">
      <c r="A313" s="1" t="s">
        <v>474</v>
      </c>
      <c r="B313" s="2" t="s">
        <v>462</v>
      </c>
      <c r="C313" s="3">
        <v>800</v>
      </c>
      <c r="D313" s="3">
        <v>15</v>
      </c>
      <c r="E313" s="18">
        <v>42652</v>
      </c>
      <c r="F313" s="18" t="s">
        <v>39</v>
      </c>
      <c r="H313" s="3">
        <v>75</v>
      </c>
      <c r="I313" s="2" t="s">
        <v>729</v>
      </c>
      <c r="J313" s="1" t="str">
        <f t="shared" si="16"/>
        <v>40 - 80 Days</v>
      </c>
      <c r="K313" s="3">
        <v>26</v>
      </c>
      <c r="L313" s="2" t="s">
        <v>745</v>
      </c>
      <c r="M313" t="str">
        <f t="shared" si="17"/>
        <v>Middle Aged</v>
      </c>
      <c r="N313" s="2" t="s">
        <v>737</v>
      </c>
      <c r="O313" s="1" t="str">
        <f t="shared" si="18"/>
        <v>High School Or Below</v>
      </c>
      <c r="P313" s="2" t="s">
        <v>736</v>
      </c>
      <c r="Q313" t="str">
        <f t="shared" si="19"/>
        <v>Female</v>
      </c>
    </row>
    <row r="314" spans="1:17" x14ac:dyDescent="0.25">
      <c r="A314" s="1" t="s">
        <v>475</v>
      </c>
      <c r="B314" s="2" t="s">
        <v>462</v>
      </c>
      <c r="C314" s="3">
        <v>1000</v>
      </c>
      <c r="D314" s="3">
        <v>30</v>
      </c>
      <c r="E314" s="18">
        <v>42652</v>
      </c>
      <c r="F314" s="18">
        <v>42623</v>
      </c>
      <c r="H314" s="3">
        <v>60</v>
      </c>
      <c r="I314" s="2" t="s">
        <v>729</v>
      </c>
      <c r="J314" s="1" t="str">
        <f t="shared" si="16"/>
        <v>40 - 80 Days</v>
      </c>
      <c r="K314" s="3">
        <v>27</v>
      </c>
      <c r="L314" s="2" t="s">
        <v>745</v>
      </c>
      <c r="M314" t="str">
        <f t="shared" si="17"/>
        <v>Middle Aged</v>
      </c>
      <c r="N314" s="2" t="s">
        <v>737</v>
      </c>
      <c r="O314" s="1" t="str">
        <f t="shared" si="18"/>
        <v>High School Or Below</v>
      </c>
      <c r="P314" s="2" t="s">
        <v>735</v>
      </c>
      <c r="Q314" t="str">
        <f t="shared" si="19"/>
        <v>Male</v>
      </c>
    </row>
    <row r="315" spans="1:17" x14ac:dyDescent="0.25">
      <c r="A315" s="1" t="s">
        <v>476</v>
      </c>
      <c r="B315" s="2" t="s">
        <v>462</v>
      </c>
      <c r="C315" s="3">
        <v>1000</v>
      </c>
      <c r="D315" s="3">
        <v>30</v>
      </c>
      <c r="E315" s="18">
        <v>42652</v>
      </c>
      <c r="F315" s="18">
        <v>42623</v>
      </c>
      <c r="H315" s="3">
        <v>60</v>
      </c>
      <c r="I315" s="2" t="s">
        <v>729</v>
      </c>
      <c r="J315" s="1" t="str">
        <f t="shared" si="16"/>
        <v>40 - 80 Days</v>
      </c>
      <c r="K315" s="3">
        <v>20</v>
      </c>
      <c r="L315" s="2" t="s">
        <v>746</v>
      </c>
      <c r="M315" t="str">
        <f t="shared" si="17"/>
        <v xml:space="preserve"> Young Adults</v>
      </c>
      <c r="N315" s="2" t="s">
        <v>737</v>
      </c>
      <c r="O315" s="1" t="str">
        <f t="shared" si="18"/>
        <v>High School Or Below</v>
      </c>
      <c r="P315" s="2" t="s">
        <v>735</v>
      </c>
      <c r="Q315" t="str">
        <f t="shared" si="19"/>
        <v>Male</v>
      </c>
    </row>
    <row r="316" spans="1:17" x14ac:dyDescent="0.25">
      <c r="A316" s="1" t="s">
        <v>477</v>
      </c>
      <c r="B316" s="2" t="s">
        <v>462</v>
      </c>
      <c r="C316" s="3">
        <v>1000</v>
      </c>
      <c r="D316" s="3">
        <v>30</v>
      </c>
      <c r="E316" s="18">
        <v>42652</v>
      </c>
      <c r="F316" s="18">
        <v>42623</v>
      </c>
      <c r="H316" s="3">
        <v>60</v>
      </c>
      <c r="I316" s="2" t="s">
        <v>729</v>
      </c>
      <c r="J316" s="1" t="str">
        <f t="shared" si="16"/>
        <v>40 - 80 Days</v>
      </c>
      <c r="K316" s="3">
        <v>24</v>
      </c>
      <c r="L316" s="2" t="s">
        <v>746</v>
      </c>
      <c r="M316" t="str">
        <f t="shared" si="17"/>
        <v xml:space="preserve"> Young Adults</v>
      </c>
      <c r="N316" s="2" t="s">
        <v>739</v>
      </c>
      <c r="O316" s="1" t="str">
        <f t="shared" si="18"/>
        <v>College</v>
      </c>
      <c r="P316" s="2" t="s">
        <v>735</v>
      </c>
      <c r="Q316" t="str">
        <f t="shared" si="19"/>
        <v>Male</v>
      </c>
    </row>
    <row r="317" spans="1:17" x14ac:dyDescent="0.25">
      <c r="A317" s="1" t="s">
        <v>478</v>
      </c>
      <c r="B317" s="2" t="s">
        <v>462</v>
      </c>
      <c r="C317" s="3">
        <v>1000</v>
      </c>
      <c r="D317" s="3">
        <v>15</v>
      </c>
      <c r="E317" s="18">
        <v>42652</v>
      </c>
      <c r="F317" s="18">
        <v>42623</v>
      </c>
      <c r="H317" s="3">
        <v>60</v>
      </c>
      <c r="I317" s="2" t="s">
        <v>729</v>
      </c>
      <c r="J317" s="1" t="str">
        <f t="shared" si="16"/>
        <v>40 - 80 Days</v>
      </c>
      <c r="K317" s="3">
        <v>26</v>
      </c>
      <c r="L317" s="2" t="s">
        <v>745</v>
      </c>
      <c r="M317" t="str">
        <f t="shared" si="17"/>
        <v>Middle Aged</v>
      </c>
      <c r="N317" s="2" t="s">
        <v>737</v>
      </c>
      <c r="O317" s="1" t="str">
        <f t="shared" si="18"/>
        <v>High School Or Below</v>
      </c>
      <c r="P317" s="2" t="s">
        <v>735</v>
      </c>
      <c r="Q317" t="str">
        <f t="shared" si="19"/>
        <v>Male</v>
      </c>
    </row>
    <row r="318" spans="1:17" x14ac:dyDescent="0.25">
      <c r="A318" s="1" t="s">
        <v>479</v>
      </c>
      <c r="B318" s="2" t="s">
        <v>462</v>
      </c>
      <c r="C318" s="3">
        <v>1000</v>
      </c>
      <c r="D318" s="3">
        <v>30</v>
      </c>
      <c r="E318" s="18">
        <v>42652</v>
      </c>
      <c r="F318" s="18">
        <v>42623</v>
      </c>
      <c r="H318" s="3">
        <v>60</v>
      </c>
      <c r="I318" s="2" t="s">
        <v>729</v>
      </c>
      <c r="J318" s="1" t="str">
        <f t="shared" si="16"/>
        <v>40 - 80 Days</v>
      </c>
      <c r="K318" s="3">
        <v>30</v>
      </c>
      <c r="L318" s="2" t="s">
        <v>745</v>
      </c>
      <c r="M318" t="str">
        <f t="shared" si="17"/>
        <v>Middle Aged</v>
      </c>
      <c r="N318" s="2" t="s">
        <v>737</v>
      </c>
      <c r="O318" s="1" t="str">
        <f t="shared" si="18"/>
        <v>High School Or Below</v>
      </c>
      <c r="P318" s="2" t="s">
        <v>735</v>
      </c>
      <c r="Q318" t="str">
        <f t="shared" si="19"/>
        <v>Male</v>
      </c>
    </row>
    <row r="319" spans="1:17" x14ac:dyDescent="0.25">
      <c r="A319" s="1" t="s">
        <v>480</v>
      </c>
      <c r="B319" s="2" t="s">
        <v>462</v>
      </c>
      <c r="C319" s="3">
        <v>1000</v>
      </c>
      <c r="D319" s="3">
        <v>15</v>
      </c>
      <c r="E319" s="18">
        <v>42652</v>
      </c>
      <c r="F319" s="18" t="s">
        <v>39</v>
      </c>
      <c r="H319" s="3">
        <v>75</v>
      </c>
      <c r="I319" s="2" t="s">
        <v>729</v>
      </c>
      <c r="J319" s="1" t="str">
        <f t="shared" si="16"/>
        <v>40 - 80 Days</v>
      </c>
      <c r="K319" s="3">
        <v>29</v>
      </c>
      <c r="L319" s="2" t="s">
        <v>745</v>
      </c>
      <c r="M319" t="str">
        <f t="shared" si="17"/>
        <v>Middle Aged</v>
      </c>
      <c r="N319" s="2" t="s">
        <v>737</v>
      </c>
      <c r="O319" s="1" t="str">
        <f t="shared" si="18"/>
        <v>High School Or Below</v>
      </c>
      <c r="P319" s="2" t="s">
        <v>735</v>
      </c>
      <c r="Q319" t="str">
        <f t="shared" si="19"/>
        <v>Male</v>
      </c>
    </row>
    <row r="320" spans="1:17" x14ac:dyDescent="0.25">
      <c r="A320" s="1" t="s">
        <v>481</v>
      </c>
      <c r="B320" s="2" t="s">
        <v>462</v>
      </c>
      <c r="C320" s="3">
        <v>1000</v>
      </c>
      <c r="D320" s="3">
        <v>30</v>
      </c>
      <c r="E320" s="18">
        <v>42652</v>
      </c>
      <c r="F320" s="18">
        <v>42623</v>
      </c>
      <c r="H320" s="3">
        <v>60</v>
      </c>
      <c r="I320" s="2" t="s">
        <v>729</v>
      </c>
      <c r="J320" s="1" t="str">
        <f t="shared" si="16"/>
        <v>40 - 80 Days</v>
      </c>
      <c r="K320" s="3">
        <v>22</v>
      </c>
      <c r="L320" s="2" t="s">
        <v>746</v>
      </c>
      <c r="M320" t="str">
        <f t="shared" si="17"/>
        <v xml:space="preserve"> Young Adults</v>
      </c>
      <c r="N320" s="2" t="s">
        <v>738</v>
      </c>
      <c r="O320" s="1" t="str">
        <f t="shared" si="18"/>
        <v>Bachelor</v>
      </c>
      <c r="P320" s="2" t="s">
        <v>735</v>
      </c>
      <c r="Q320" t="str">
        <f t="shared" si="19"/>
        <v>Male</v>
      </c>
    </row>
    <row r="321" spans="1:17" x14ac:dyDescent="0.25">
      <c r="A321" s="1" t="s">
        <v>482</v>
      </c>
      <c r="B321" s="2" t="s">
        <v>462</v>
      </c>
      <c r="C321" s="3">
        <v>1000</v>
      </c>
      <c r="D321" s="3">
        <v>15</v>
      </c>
      <c r="E321" s="18">
        <v>42652</v>
      </c>
      <c r="F321" s="18" t="s">
        <v>39</v>
      </c>
      <c r="H321" s="3">
        <v>75</v>
      </c>
      <c r="I321" s="2" t="s">
        <v>729</v>
      </c>
      <c r="J321" s="1" t="str">
        <f t="shared" si="16"/>
        <v>40 - 80 Days</v>
      </c>
      <c r="K321" s="3">
        <v>24</v>
      </c>
      <c r="L321" s="2" t="s">
        <v>746</v>
      </c>
      <c r="M321" t="str">
        <f t="shared" si="17"/>
        <v xml:space="preserve"> Young Adults</v>
      </c>
      <c r="N321" s="2" t="s">
        <v>738</v>
      </c>
      <c r="O321" s="1" t="str">
        <f t="shared" si="18"/>
        <v>Bachelor</v>
      </c>
      <c r="P321" s="2" t="s">
        <v>735</v>
      </c>
      <c r="Q321" t="str">
        <f t="shared" si="19"/>
        <v>Male</v>
      </c>
    </row>
    <row r="322" spans="1:17" x14ac:dyDescent="0.25">
      <c r="A322" s="1" t="s">
        <v>483</v>
      </c>
      <c r="B322" s="2" t="s">
        <v>462</v>
      </c>
      <c r="C322" s="3">
        <v>1000</v>
      </c>
      <c r="D322" s="3">
        <v>30</v>
      </c>
      <c r="E322" s="18">
        <v>42652</v>
      </c>
      <c r="F322" s="18">
        <v>42623</v>
      </c>
      <c r="H322" s="3">
        <v>60</v>
      </c>
      <c r="I322" s="2" t="s">
        <v>729</v>
      </c>
      <c r="J322" s="1" t="str">
        <f t="shared" si="16"/>
        <v>40 - 80 Days</v>
      </c>
      <c r="K322" s="3">
        <v>25</v>
      </c>
      <c r="L322" s="2" t="s">
        <v>746</v>
      </c>
      <c r="M322" t="str">
        <f t="shared" si="17"/>
        <v xml:space="preserve"> Young Adults</v>
      </c>
      <c r="N322" s="2" t="s">
        <v>739</v>
      </c>
      <c r="O322" s="1" t="str">
        <f t="shared" si="18"/>
        <v>College</v>
      </c>
      <c r="P322" s="2" t="s">
        <v>735</v>
      </c>
      <c r="Q322" t="str">
        <f t="shared" si="19"/>
        <v>Male</v>
      </c>
    </row>
    <row r="323" spans="1:17" x14ac:dyDescent="0.25">
      <c r="A323" s="1" t="s">
        <v>484</v>
      </c>
      <c r="B323" s="2" t="s">
        <v>462</v>
      </c>
      <c r="C323" s="3">
        <v>1000</v>
      </c>
      <c r="D323" s="3">
        <v>30</v>
      </c>
      <c r="E323" s="18">
        <v>42652</v>
      </c>
      <c r="F323" s="18">
        <v>42623</v>
      </c>
      <c r="H323" s="3">
        <v>60</v>
      </c>
      <c r="I323" s="2" t="s">
        <v>729</v>
      </c>
      <c r="J323" s="1" t="str">
        <f t="shared" ref="J323:J386" si="20">IF(H323 = " ", "Current", IF(H323 = 0, "Current", IF(H323 &lt;= 39, "1 - 39 Days", IF(H323 &lt;= 80, "40 - 80 Days"))))</f>
        <v>40 - 80 Days</v>
      </c>
      <c r="K323" s="3">
        <v>28</v>
      </c>
      <c r="L323" s="2" t="s">
        <v>745</v>
      </c>
      <c r="M323" t="str">
        <f t="shared" ref="M323:M386" si="21">IF(K323 &lt;= 25, " Young Adults", IF(K323 &lt;= 33, "Middle Aged", IF(K323 &lt;= 49, "Mature", IF(K323 &lt;= 100, "Old"))))</f>
        <v>Middle Aged</v>
      </c>
      <c r="N323" s="2" t="s">
        <v>737</v>
      </c>
      <c r="O323" s="1" t="str">
        <f t="shared" ref="O323:O386" si="22">PROPER(N323)</f>
        <v>High School Or Below</v>
      </c>
      <c r="P323" s="2" t="s">
        <v>735</v>
      </c>
      <c r="Q323" t="str">
        <f t="shared" ref="Q323:Q386" si="23">PROPER(P323)</f>
        <v>Male</v>
      </c>
    </row>
    <row r="324" spans="1:17" x14ac:dyDescent="0.25">
      <c r="A324" s="1" t="s">
        <v>485</v>
      </c>
      <c r="B324" s="2" t="s">
        <v>462</v>
      </c>
      <c r="C324" s="3">
        <v>1000</v>
      </c>
      <c r="D324" s="3">
        <v>30</v>
      </c>
      <c r="E324" s="18">
        <v>42652</v>
      </c>
      <c r="F324" s="18">
        <v>42623</v>
      </c>
      <c r="H324" s="3">
        <v>60</v>
      </c>
      <c r="I324" s="2" t="s">
        <v>729</v>
      </c>
      <c r="J324" s="1" t="str">
        <f t="shared" si="20"/>
        <v>40 - 80 Days</v>
      </c>
      <c r="K324" s="3">
        <v>37</v>
      </c>
      <c r="L324" s="2" t="s">
        <v>743</v>
      </c>
      <c r="M324" t="str">
        <f t="shared" si="21"/>
        <v>Mature</v>
      </c>
      <c r="N324" s="2" t="s">
        <v>739</v>
      </c>
      <c r="O324" s="1" t="str">
        <f t="shared" si="22"/>
        <v>College</v>
      </c>
      <c r="P324" s="2" t="s">
        <v>735</v>
      </c>
      <c r="Q324" t="str">
        <f t="shared" si="23"/>
        <v>Male</v>
      </c>
    </row>
    <row r="325" spans="1:17" x14ac:dyDescent="0.25">
      <c r="A325" s="1" t="s">
        <v>486</v>
      </c>
      <c r="B325" s="2" t="s">
        <v>462</v>
      </c>
      <c r="C325" s="3">
        <v>800</v>
      </c>
      <c r="D325" s="3">
        <v>15</v>
      </c>
      <c r="E325" s="18">
        <v>42652</v>
      </c>
      <c r="F325" s="18" t="s">
        <v>39</v>
      </c>
      <c r="H325" s="3">
        <v>75</v>
      </c>
      <c r="I325" s="2" t="s">
        <v>729</v>
      </c>
      <c r="J325" s="1" t="str">
        <f t="shared" si="20"/>
        <v>40 - 80 Days</v>
      </c>
      <c r="K325" s="3">
        <v>32</v>
      </c>
      <c r="L325" s="2" t="s">
        <v>745</v>
      </c>
      <c r="M325" t="str">
        <f t="shared" si="21"/>
        <v>Middle Aged</v>
      </c>
      <c r="N325" s="2" t="s">
        <v>739</v>
      </c>
      <c r="O325" s="1" t="str">
        <f t="shared" si="22"/>
        <v>College</v>
      </c>
      <c r="P325" s="2" t="s">
        <v>735</v>
      </c>
      <c r="Q325" t="str">
        <f t="shared" si="23"/>
        <v>Male</v>
      </c>
    </row>
    <row r="326" spans="1:17" x14ac:dyDescent="0.25">
      <c r="A326" s="1" t="s">
        <v>487</v>
      </c>
      <c r="B326" s="2" t="s">
        <v>462</v>
      </c>
      <c r="C326" s="3">
        <v>1000</v>
      </c>
      <c r="D326" s="3">
        <v>15</v>
      </c>
      <c r="E326" s="18">
        <v>42652</v>
      </c>
      <c r="F326" s="18" t="s">
        <v>39</v>
      </c>
      <c r="H326" s="3">
        <v>75</v>
      </c>
      <c r="I326" s="2" t="s">
        <v>729</v>
      </c>
      <c r="J326" s="1" t="str">
        <f t="shared" si="20"/>
        <v>40 - 80 Days</v>
      </c>
      <c r="K326" s="3">
        <v>34</v>
      </c>
      <c r="L326" s="2" t="s">
        <v>743</v>
      </c>
      <c r="M326" t="str">
        <f t="shared" si="21"/>
        <v>Mature</v>
      </c>
      <c r="N326" s="2" t="s">
        <v>739</v>
      </c>
      <c r="O326" s="1" t="str">
        <f t="shared" si="22"/>
        <v>College</v>
      </c>
      <c r="P326" s="2" t="s">
        <v>735</v>
      </c>
      <c r="Q326" t="str">
        <f t="shared" si="23"/>
        <v>Male</v>
      </c>
    </row>
    <row r="327" spans="1:17" x14ac:dyDescent="0.25">
      <c r="A327" s="1" t="s">
        <v>488</v>
      </c>
      <c r="B327" s="2" t="s">
        <v>462</v>
      </c>
      <c r="C327" s="3">
        <v>1000</v>
      </c>
      <c r="D327" s="3">
        <v>30</v>
      </c>
      <c r="E327" s="18">
        <v>42683</v>
      </c>
      <c r="F327" s="18">
        <v>42653</v>
      </c>
      <c r="H327" s="3">
        <v>59</v>
      </c>
      <c r="I327" s="2" t="s">
        <v>729</v>
      </c>
      <c r="J327" s="1" t="str">
        <f t="shared" si="20"/>
        <v>40 - 80 Days</v>
      </c>
      <c r="K327" s="3">
        <v>28</v>
      </c>
      <c r="L327" s="2" t="s">
        <v>745</v>
      </c>
      <c r="M327" t="str">
        <f t="shared" si="21"/>
        <v>Middle Aged</v>
      </c>
      <c r="N327" s="2" t="s">
        <v>738</v>
      </c>
      <c r="O327" s="1" t="str">
        <f t="shared" si="22"/>
        <v>Bachelor</v>
      </c>
      <c r="P327" s="2" t="s">
        <v>735</v>
      </c>
      <c r="Q327" t="str">
        <f t="shared" si="23"/>
        <v>Male</v>
      </c>
    </row>
    <row r="328" spans="1:17" x14ac:dyDescent="0.25">
      <c r="A328" s="1" t="s">
        <v>489</v>
      </c>
      <c r="B328" s="2" t="s">
        <v>462</v>
      </c>
      <c r="C328" s="3">
        <v>800</v>
      </c>
      <c r="D328" s="3">
        <v>15</v>
      </c>
      <c r="E328" s="18">
        <v>42683</v>
      </c>
      <c r="F328" s="18" t="s">
        <v>63</v>
      </c>
      <c r="H328" s="3">
        <v>74</v>
      </c>
      <c r="I328" s="2" t="s">
        <v>729</v>
      </c>
      <c r="J328" s="1" t="str">
        <f t="shared" si="20"/>
        <v>40 - 80 Days</v>
      </c>
      <c r="K328" s="3">
        <v>35</v>
      </c>
      <c r="L328" s="2" t="s">
        <v>743</v>
      </c>
      <c r="M328" t="str">
        <f t="shared" si="21"/>
        <v>Mature</v>
      </c>
      <c r="N328" s="2" t="s">
        <v>738</v>
      </c>
      <c r="O328" s="1" t="str">
        <f t="shared" si="22"/>
        <v>Bachelor</v>
      </c>
      <c r="P328" s="2" t="s">
        <v>735</v>
      </c>
      <c r="Q328" t="str">
        <f t="shared" si="23"/>
        <v>Male</v>
      </c>
    </row>
    <row r="329" spans="1:17" x14ac:dyDescent="0.25">
      <c r="A329" s="1" t="s">
        <v>490</v>
      </c>
      <c r="B329" s="2" t="s">
        <v>462</v>
      </c>
      <c r="C329" s="3">
        <v>1000</v>
      </c>
      <c r="D329" s="3">
        <v>30</v>
      </c>
      <c r="E329" s="18">
        <v>42683</v>
      </c>
      <c r="F329" s="18">
        <v>42624</v>
      </c>
      <c r="H329" s="3">
        <v>29</v>
      </c>
      <c r="I329" s="2" t="s">
        <v>730</v>
      </c>
      <c r="J329" s="1" t="str">
        <f t="shared" si="20"/>
        <v>1 - 39 Days</v>
      </c>
      <c r="K329" s="3">
        <v>27</v>
      </c>
      <c r="L329" s="2" t="s">
        <v>745</v>
      </c>
      <c r="M329" t="str">
        <f t="shared" si="21"/>
        <v>Middle Aged</v>
      </c>
      <c r="N329" s="2" t="s">
        <v>739</v>
      </c>
      <c r="O329" s="1" t="str">
        <f t="shared" si="22"/>
        <v>College</v>
      </c>
      <c r="P329" s="2" t="s">
        <v>735</v>
      </c>
      <c r="Q329" t="str">
        <f t="shared" si="23"/>
        <v>Male</v>
      </c>
    </row>
    <row r="330" spans="1:17" x14ac:dyDescent="0.25">
      <c r="A330" s="1" t="s">
        <v>491</v>
      </c>
      <c r="B330" s="2" t="s">
        <v>462</v>
      </c>
      <c r="C330" s="3">
        <v>1000</v>
      </c>
      <c r="D330" s="3">
        <v>30</v>
      </c>
      <c r="E330" s="18">
        <v>42683</v>
      </c>
      <c r="F330" s="18">
        <v>42653</v>
      </c>
      <c r="H330" s="3">
        <v>59</v>
      </c>
      <c r="I330" s="2" t="s">
        <v>729</v>
      </c>
      <c r="J330" s="1" t="str">
        <f t="shared" si="20"/>
        <v>40 - 80 Days</v>
      </c>
      <c r="K330" s="3">
        <v>24</v>
      </c>
      <c r="L330" s="2" t="s">
        <v>746</v>
      </c>
      <c r="M330" t="str">
        <f t="shared" si="21"/>
        <v xml:space="preserve"> Young Adults</v>
      </c>
      <c r="N330" s="2" t="s">
        <v>737</v>
      </c>
      <c r="O330" s="1" t="str">
        <f t="shared" si="22"/>
        <v>High School Or Below</v>
      </c>
      <c r="P330" s="2" t="s">
        <v>736</v>
      </c>
      <c r="Q330" t="str">
        <f t="shared" si="23"/>
        <v>Female</v>
      </c>
    </row>
    <row r="331" spans="1:17" x14ac:dyDescent="0.25">
      <c r="A331" s="1" t="s">
        <v>492</v>
      </c>
      <c r="B331" s="2" t="s">
        <v>462</v>
      </c>
      <c r="C331" s="3">
        <v>1000</v>
      </c>
      <c r="D331" s="3">
        <v>30</v>
      </c>
      <c r="E331" s="18">
        <v>42683</v>
      </c>
      <c r="F331" s="18">
        <v>42653</v>
      </c>
      <c r="H331" s="3">
        <v>59</v>
      </c>
      <c r="I331" s="2" t="s">
        <v>729</v>
      </c>
      <c r="J331" s="1" t="str">
        <f t="shared" si="20"/>
        <v>40 - 80 Days</v>
      </c>
      <c r="K331" s="3">
        <v>44</v>
      </c>
      <c r="L331" s="2" t="s">
        <v>743</v>
      </c>
      <c r="M331" t="str">
        <f t="shared" si="21"/>
        <v>Mature</v>
      </c>
      <c r="N331" s="2" t="s">
        <v>738</v>
      </c>
      <c r="O331" s="1" t="str">
        <f t="shared" si="22"/>
        <v>Bachelor</v>
      </c>
      <c r="P331" s="2" t="s">
        <v>735</v>
      </c>
      <c r="Q331" t="str">
        <f t="shared" si="23"/>
        <v>Male</v>
      </c>
    </row>
    <row r="332" spans="1:17" x14ac:dyDescent="0.25">
      <c r="A332" s="1" t="s">
        <v>493</v>
      </c>
      <c r="B332" s="2" t="s">
        <v>462</v>
      </c>
      <c r="C332" s="3">
        <v>1000</v>
      </c>
      <c r="D332" s="3">
        <v>15</v>
      </c>
      <c r="E332" s="18">
        <v>42683</v>
      </c>
      <c r="F332" s="18" t="s">
        <v>194</v>
      </c>
      <c r="H332" s="3">
        <v>44</v>
      </c>
      <c r="I332" s="2" t="s">
        <v>729</v>
      </c>
      <c r="J332" s="1" t="str">
        <f t="shared" si="20"/>
        <v>40 - 80 Days</v>
      </c>
      <c r="K332" s="3">
        <v>31</v>
      </c>
      <c r="L332" s="2" t="s">
        <v>745</v>
      </c>
      <c r="M332" t="str">
        <f t="shared" si="21"/>
        <v>Middle Aged</v>
      </c>
      <c r="N332" s="2" t="s">
        <v>739</v>
      </c>
      <c r="O332" s="1" t="str">
        <f t="shared" si="22"/>
        <v>College</v>
      </c>
      <c r="P332" s="2" t="s">
        <v>735</v>
      </c>
      <c r="Q332" t="str">
        <f t="shared" si="23"/>
        <v>Male</v>
      </c>
    </row>
    <row r="333" spans="1:17" x14ac:dyDescent="0.25">
      <c r="A333" s="1" t="s">
        <v>494</v>
      </c>
      <c r="B333" s="2" t="s">
        <v>462</v>
      </c>
      <c r="C333" s="3">
        <v>800</v>
      </c>
      <c r="D333" s="3">
        <v>15</v>
      </c>
      <c r="E333" s="18">
        <v>42683</v>
      </c>
      <c r="F333" s="18" t="s">
        <v>63</v>
      </c>
      <c r="H333" s="3">
        <v>74</v>
      </c>
      <c r="I333" s="2" t="s">
        <v>729</v>
      </c>
      <c r="J333" s="1" t="str">
        <f t="shared" si="20"/>
        <v>40 - 80 Days</v>
      </c>
      <c r="K333" s="3">
        <v>27</v>
      </c>
      <c r="L333" s="2" t="s">
        <v>745</v>
      </c>
      <c r="M333" t="str">
        <f t="shared" si="21"/>
        <v>Middle Aged</v>
      </c>
      <c r="N333" s="2" t="s">
        <v>739</v>
      </c>
      <c r="O333" s="1" t="str">
        <f t="shared" si="22"/>
        <v>College</v>
      </c>
      <c r="P333" s="2" t="s">
        <v>735</v>
      </c>
      <c r="Q333" t="str">
        <f t="shared" si="23"/>
        <v>Male</v>
      </c>
    </row>
    <row r="334" spans="1:17" x14ac:dyDescent="0.25">
      <c r="A334" s="1" t="s">
        <v>495</v>
      </c>
      <c r="B334" s="2" t="s">
        <v>462</v>
      </c>
      <c r="C334" s="3">
        <v>1000</v>
      </c>
      <c r="D334" s="3">
        <v>30</v>
      </c>
      <c r="E334" s="18">
        <v>42683</v>
      </c>
      <c r="F334" s="18">
        <v>42653</v>
      </c>
      <c r="H334" s="3">
        <v>59</v>
      </c>
      <c r="I334" s="2" t="s">
        <v>729</v>
      </c>
      <c r="J334" s="1" t="str">
        <f t="shared" si="20"/>
        <v>40 - 80 Days</v>
      </c>
      <c r="K334" s="3">
        <v>21</v>
      </c>
      <c r="L334" s="2" t="s">
        <v>746</v>
      </c>
      <c r="M334" t="str">
        <f t="shared" si="21"/>
        <v xml:space="preserve"> Young Adults</v>
      </c>
      <c r="N334" s="2" t="s">
        <v>737</v>
      </c>
      <c r="O334" s="1" t="str">
        <f t="shared" si="22"/>
        <v>High School Or Below</v>
      </c>
      <c r="P334" s="2" t="s">
        <v>735</v>
      </c>
      <c r="Q334" t="str">
        <f t="shared" si="23"/>
        <v>Male</v>
      </c>
    </row>
    <row r="335" spans="1:17" x14ac:dyDescent="0.25">
      <c r="A335" s="1" t="s">
        <v>496</v>
      </c>
      <c r="B335" s="2" t="s">
        <v>462</v>
      </c>
      <c r="C335" s="3">
        <v>1000</v>
      </c>
      <c r="D335" s="3">
        <v>30</v>
      </c>
      <c r="E335" s="18">
        <v>42683</v>
      </c>
      <c r="F335" s="18">
        <v>42653</v>
      </c>
      <c r="H335" s="3">
        <v>59</v>
      </c>
      <c r="I335" s="2" t="s">
        <v>729</v>
      </c>
      <c r="J335" s="1" t="str">
        <f t="shared" si="20"/>
        <v>40 - 80 Days</v>
      </c>
      <c r="K335" s="3">
        <v>30</v>
      </c>
      <c r="L335" s="2" t="s">
        <v>745</v>
      </c>
      <c r="M335" t="str">
        <f t="shared" si="21"/>
        <v>Middle Aged</v>
      </c>
      <c r="N335" s="2" t="s">
        <v>737</v>
      </c>
      <c r="O335" s="1" t="str">
        <f t="shared" si="22"/>
        <v>High School Or Below</v>
      </c>
      <c r="P335" s="2" t="s">
        <v>736</v>
      </c>
      <c r="Q335" t="str">
        <f t="shared" si="23"/>
        <v>Female</v>
      </c>
    </row>
    <row r="336" spans="1:17" x14ac:dyDescent="0.25">
      <c r="A336" s="1" t="s">
        <v>497</v>
      </c>
      <c r="B336" s="2" t="s">
        <v>462</v>
      </c>
      <c r="C336" s="3">
        <v>1000</v>
      </c>
      <c r="D336" s="3">
        <v>30</v>
      </c>
      <c r="E336" s="18">
        <v>42683</v>
      </c>
      <c r="F336" s="18">
        <v>42653</v>
      </c>
      <c r="H336" s="3">
        <v>59</v>
      </c>
      <c r="I336" s="2" t="s">
        <v>729</v>
      </c>
      <c r="J336" s="1" t="str">
        <f t="shared" si="20"/>
        <v>40 - 80 Days</v>
      </c>
      <c r="K336" s="3">
        <v>38</v>
      </c>
      <c r="L336" s="2" t="s">
        <v>743</v>
      </c>
      <c r="M336" t="str">
        <f t="shared" si="21"/>
        <v>Mature</v>
      </c>
      <c r="N336" s="2" t="s">
        <v>739</v>
      </c>
      <c r="O336" s="1" t="str">
        <f t="shared" si="22"/>
        <v>College</v>
      </c>
      <c r="P336" s="2" t="s">
        <v>736</v>
      </c>
      <c r="Q336" t="str">
        <f t="shared" si="23"/>
        <v>Female</v>
      </c>
    </row>
    <row r="337" spans="1:17" x14ac:dyDescent="0.25">
      <c r="A337" s="1" t="s">
        <v>498</v>
      </c>
      <c r="B337" s="2" t="s">
        <v>462</v>
      </c>
      <c r="C337" s="3">
        <v>1000</v>
      </c>
      <c r="D337" s="3">
        <v>30</v>
      </c>
      <c r="E337" s="18">
        <v>42683</v>
      </c>
      <c r="F337" s="18">
        <v>42653</v>
      </c>
      <c r="H337" s="3">
        <v>59</v>
      </c>
      <c r="I337" s="2" t="s">
        <v>729</v>
      </c>
      <c r="J337" s="1" t="str">
        <f t="shared" si="20"/>
        <v>40 - 80 Days</v>
      </c>
      <c r="K337" s="3">
        <v>34</v>
      </c>
      <c r="L337" s="2" t="s">
        <v>743</v>
      </c>
      <c r="M337" t="str">
        <f t="shared" si="21"/>
        <v>Mature</v>
      </c>
      <c r="N337" s="2" t="s">
        <v>737</v>
      </c>
      <c r="O337" s="1" t="str">
        <f t="shared" si="22"/>
        <v>High School Or Below</v>
      </c>
      <c r="P337" s="2" t="s">
        <v>735</v>
      </c>
      <c r="Q337" t="str">
        <f t="shared" si="23"/>
        <v>Male</v>
      </c>
    </row>
    <row r="338" spans="1:17" x14ac:dyDescent="0.25">
      <c r="A338" s="1" t="s">
        <v>499</v>
      </c>
      <c r="B338" s="2" t="s">
        <v>462</v>
      </c>
      <c r="C338" s="3">
        <v>1000</v>
      </c>
      <c r="D338" s="3">
        <v>30</v>
      </c>
      <c r="E338" s="18">
        <v>42683</v>
      </c>
      <c r="F338" s="18">
        <v>42653</v>
      </c>
      <c r="H338" s="3">
        <v>59</v>
      </c>
      <c r="I338" s="2" t="s">
        <v>729</v>
      </c>
      <c r="J338" s="1" t="str">
        <f t="shared" si="20"/>
        <v>40 - 80 Days</v>
      </c>
      <c r="K338" s="3">
        <v>31</v>
      </c>
      <c r="L338" s="2" t="s">
        <v>745</v>
      </c>
      <c r="M338" t="str">
        <f t="shared" si="21"/>
        <v>Middle Aged</v>
      </c>
      <c r="N338" s="2" t="s">
        <v>739</v>
      </c>
      <c r="O338" s="1" t="str">
        <f t="shared" si="22"/>
        <v>College</v>
      </c>
      <c r="P338" s="2" t="s">
        <v>735</v>
      </c>
      <c r="Q338" t="str">
        <f t="shared" si="23"/>
        <v>Male</v>
      </c>
    </row>
    <row r="339" spans="1:17" x14ac:dyDescent="0.25">
      <c r="A339" s="1" t="s">
        <v>500</v>
      </c>
      <c r="B339" s="2" t="s">
        <v>462</v>
      </c>
      <c r="C339" s="3">
        <v>1000</v>
      </c>
      <c r="D339" s="3">
        <v>30</v>
      </c>
      <c r="E339" s="18">
        <v>42683</v>
      </c>
      <c r="F339" s="18">
        <v>42653</v>
      </c>
      <c r="H339" s="3">
        <v>59</v>
      </c>
      <c r="I339" s="2" t="s">
        <v>729</v>
      </c>
      <c r="J339" s="1" t="str">
        <f t="shared" si="20"/>
        <v>40 - 80 Days</v>
      </c>
      <c r="K339" s="3">
        <v>23</v>
      </c>
      <c r="L339" s="2" t="s">
        <v>746</v>
      </c>
      <c r="M339" t="str">
        <f t="shared" si="21"/>
        <v xml:space="preserve"> Young Adults</v>
      </c>
      <c r="N339" s="2" t="s">
        <v>737</v>
      </c>
      <c r="O339" s="1" t="str">
        <f t="shared" si="22"/>
        <v>High School Or Below</v>
      </c>
      <c r="P339" s="2" t="s">
        <v>735</v>
      </c>
      <c r="Q339" t="str">
        <f t="shared" si="23"/>
        <v>Male</v>
      </c>
    </row>
    <row r="340" spans="1:17" x14ac:dyDescent="0.25">
      <c r="A340" s="1" t="s">
        <v>501</v>
      </c>
      <c r="B340" s="2" t="s">
        <v>462</v>
      </c>
      <c r="C340" s="3">
        <v>1000</v>
      </c>
      <c r="D340" s="3">
        <v>15</v>
      </c>
      <c r="E340" s="18">
        <v>42683</v>
      </c>
      <c r="F340" s="18" t="s">
        <v>63</v>
      </c>
      <c r="H340" s="3">
        <v>74</v>
      </c>
      <c r="I340" s="2" t="s">
        <v>729</v>
      </c>
      <c r="J340" s="1" t="str">
        <f t="shared" si="20"/>
        <v>40 - 80 Days</v>
      </c>
      <c r="K340" s="3">
        <v>27</v>
      </c>
      <c r="L340" s="2" t="s">
        <v>745</v>
      </c>
      <c r="M340" t="str">
        <f t="shared" si="21"/>
        <v>Middle Aged</v>
      </c>
      <c r="N340" s="2" t="s">
        <v>739</v>
      </c>
      <c r="O340" s="1" t="str">
        <f t="shared" si="22"/>
        <v>College</v>
      </c>
      <c r="P340" s="2" t="s">
        <v>736</v>
      </c>
      <c r="Q340" t="str">
        <f t="shared" si="23"/>
        <v>Female</v>
      </c>
    </row>
    <row r="341" spans="1:17" x14ac:dyDescent="0.25">
      <c r="A341" s="1" t="s">
        <v>502</v>
      </c>
      <c r="B341" s="2" t="s">
        <v>462</v>
      </c>
      <c r="C341" s="3">
        <v>1000</v>
      </c>
      <c r="D341" s="3">
        <v>15</v>
      </c>
      <c r="E341" s="18">
        <v>42683</v>
      </c>
      <c r="F341" s="18" t="s">
        <v>63</v>
      </c>
      <c r="H341" s="3">
        <v>74</v>
      </c>
      <c r="I341" s="2" t="s">
        <v>729</v>
      </c>
      <c r="J341" s="1" t="str">
        <f t="shared" si="20"/>
        <v>40 - 80 Days</v>
      </c>
      <c r="K341" s="3">
        <v>39</v>
      </c>
      <c r="L341" s="2" t="s">
        <v>743</v>
      </c>
      <c r="M341" t="str">
        <f t="shared" si="21"/>
        <v>Mature</v>
      </c>
      <c r="N341" s="2" t="s">
        <v>737</v>
      </c>
      <c r="O341" s="1" t="str">
        <f t="shared" si="22"/>
        <v>High School Or Below</v>
      </c>
      <c r="P341" s="2" t="s">
        <v>735</v>
      </c>
      <c r="Q341" t="str">
        <f t="shared" si="23"/>
        <v>Male</v>
      </c>
    </row>
    <row r="342" spans="1:17" x14ac:dyDescent="0.25">
      <c r="A342" s="1" t="s">
        <v>503</v>
      </c>
      <c r="B342" s="2" t="s">
        <v>462</v>
      </c>
      <c r="C342" s="3">
        <v>1000</v>
      </c>
      <c r="D342" s="3">
        <v>30</v>
      </c>
      <c r="E342" s="18">
        <v>42683</v>
      </c>
      <c r="F342" s="18">
        <v>42653</v>
      </c>
      <c r="H342" s="3">
        <v>59</v>
      </c>
      <c r="I342" s="2" t="s">
        <v>729</v>
      </c>
      <c r="J342" s="1" t="str">
        <f t="shared" si="20"/>
        <v>40 - 80 Days</v>
      </c>
      <c r="K342" s="3">
        <v>30</v>
      </c>
      <c r="L342" s="2" t="s">
        <v>745</v>
      </c>
      <c r="M342" t="str">
        <f t="shared" si="21"/>
        <v>Middle Aged</v>
      </c>
      <c r="N342" s="2" t="s">
        <v>737</v>
      </c>
      <c r="O342" s="1" t="str">
        <f t="shared" si="22"/>
        <v>High School Or Below</v>
      </c>
      <c r="P342" s="2" t="s">
        <v>736</v>
      </c>
      <c r="Q342" t="str">
        <f t="shared" si="23"/>
        <v>Female</v>
      </c>
    </row>
    <row r="343" spans="1:17" x14ac:dyDescent="0.25">
      <c r="A343" s="1" t="s">
        <v>504</v>
      </c>
      <c r="B343" s="2" t="s">
        <v>462</v>
      </c>
      <c r="C343" s="3">
        <v>1000</v>
      </c>
      <c r="D343" s="3">
        <v>30</v>
      </c>
      <c r="E343" s="18">
        <v>42683</v>
      </c>
      <c r="F343" s="18">
        <v>42653</v>
      </c>
      <c r="H343" s="3">
        <v>59</v>
      </c>
      <c r="I343" s="2" t="s">
        <v>729</v>
      </c>
      <c r="J343" s="1" t="str">
        <f t="shared" si="20"/>
        <v>40 - 80 Days</v>
      </c>
      <c r="K343" s="3">
        <v>25</v>
      </c>
      <c r="L343" s="2" t="s">
        <v>746</v>
      </c>
      <c r="M343" t="str">
        <f t="shared" si="21"/>
        <v xml:space="preserve"> Young Adults</v>
      </c>
      <c r="N343" s="2" t="s">
        <v>739</v>
      </c>
      <c r="O343" s="1" t="str">
        <f t="shared" si="22"/>
        <v>College</v>
      </c>
      <c r="P343" s="2" t="s">
        <v>735</v>
      </c>
      <c r="Q343" t="str">
        <f t="shared" si="23"/>
        <v>Male</v>
      </c>
    </row>
    <row r="344" spans="1:17" x14ac:dyDescent="0.25">
      <c r="A344" s="1" t="s">
        <v>505</v>
      </c>
      <c r="B344" s="2" t="s">
        <v>462</v>
      </c>
      <c r="C344" s="3">
        <v>1000</v>
      </c>
      <c r="D344" s="3">
        <v>15</v>
      </c>
      <c r="E344" s="18">
        <v>42683</v>
      </c>
      <c r="F344" s="18" t="s">
        <v>63</v>
      </c>
      <c r="H344" s="3">
        <v>74</v>
      </c>
      <c r="I344" s="2" t="s">
        <v>729</v>
      </c>
      <c r="J344" s="1" t="str">
        <f t="shared" si="20"/>
        <v>40 - 80 Days</v>
      </c>
      <c r="K344" s="3">
        <v>50</v>
      </c>
      <c r="L344" s="2" t="s">
        <v>744</v>
      </c>
      <c r="M344" t="str">
        <f t="shared" si="21"/>
        <v>Old</v>
      </c>
      <c r="N344" s="2" t="s">
        <v>740</v>
      </c>
      <c r="O344" s="1" t="str">
        <f t="shared" si="22"/>
        <v>Master Or Above</v>
      </c>
      <c r="P344" s="2" t="s">
        <v>735</v>
      </c>
      <c r="Q344" t="str">
        <f t="shared" si="23"/>
        <v>Male</v>
      </c>
    </row>
    <row r="345" spans="1:17" x14ac:dyDescent="0.25">
      <c r="A345" s="1" t="s">
        <v>506</v>
      </c>
      <c r="B345" s="2" t="s">
        <v>462</v>
      </c>
      <c r="C345" s="3">
        <v>1000</v>
      </c>
      <c r="D345" s="3">
        <v>30</v>
      </c>
      <c r="E345" s="18">
        <v>42683</v>
      </c>
      <c r="F345" s="18">
        <v>42653</v>
      </c>
      <c r="H345" s="3">
        <v>59</v>
      </c>
      <c r="I345" s="2" t="s">
        <v>729</v>
      </c>
      <c r="J345" s="1" t="str">
        <f t="shared" si="20"/>
        <v>40 - 80 Days</v>
      </c>
      <c r="K345" s="3">
        <v>23</v>
      </c>
      <c r="L345" s="2" t="s">
        <v>746</v>
      </c>
      <c r="M345" t="str">
        <f t="shared" si="21"/>
        <v xml:space="preserve"> Young Adults</v>
      </c>
      <c r="N345" s="2" t="s">
        <v>737</v>
      </c>
      <c r="O345" s="1" t="str">
        <f t="shared" si="22"/>
        <v>High School Or Below</v>
      </c>
      <c r="P345" s="2" t="s">
        <v>735</v>
      </c>
      <c r="Q345" t="str">
        <f t="shared" si="23"/>
        <v>Male</v>
      </c>
    </row>
    <row r="346" spans="1:17" x14ac:dyDescent="0.25">
      <c r="A346" s="1" t="s">
        <v>507</v>
      </c>
      <c r="B346" s="2" t="s">
        <v>462</v>
      </c>
      <c r="C346" s="3">
        <v>800</v>
      </c>
      <c r="D346" s="3">
        <v>15</v>
      </c>
      <c r="E346" s="18">
        <v>42683</v>
      </c>
      <c r="F346" s="18" t="s">
        <v>63</v>
      </c>
      <c r="H346" s="3">
        <v>74</v>
      </c>
      <c r="I346" s="2" t="s">
        <v>729</v>
      </c>
      <c r="J346" s="1" t="str">
        <f t="shared" si="20"/>
        <v>40 - 80 Days</v>
      </c>
      <c r="K346" s="3">
        <v>38</v>
      </c>
      <c r="L346" s="2" t="s">
        <v>743</v>
      </c>
      <c r="M346" t="str">
        <f t="shared" si="21"/>
        <v>Mature</v>
      </c>
      <c r="N346" s="2" t="s">
        <v>738</v>
      </c>
      <c r="O346" s="1" t="str">
        <f t="shared" si="22"/>
        <v>Bachelor</v>
      </c>
      <c r="P346" s="2" t="s">
        <v>735</v>
      </c>
      <c r="Q346" t="str">
        <f t="shared" si="23"/>
        <v>Male</v>
      </c>
    </row>
    <row r="347" spans="1:17" x14ac:dyDescent="0.25">
      <c r="A347" s="1" t="s">
        <v>508</v>
      </c>
      <c r="B347" s="2" t="s">
        <v>462</v>
      </c>
      <c r="C347" s="3">
        <v>1000</v>
      </c>
      <c r="D347" s="3">
        <v>30</v>
      </c>
      <c r="E347" s="18">
        <v>42683</v>
      </c>
      <c r="F347" s="18">
        <v>42653</v>
      </c>
      <c r="H347" s="3">
        <v>59</v>
      </c>
      <c r="I347" s="2" t="s">
        <v>729</v>
      </c>
      <c r="J347" s="1" t="str">
        <f t="shared" si="20"/>
        <v>40 - 80 Days</v>
      </c>
      <c r="K347" s="3">
        <v>27</v>
      </c>
      <c r="L347" s="2" t="s">
        <v>745</v>
      </c>
      <c r="M347" t="str">
        <f t="shared" si="21"/>
        <v>Middle Aged</v>
      </c>
      <c r="N347" s="2" t="s">
        <v>737</v>
      </c>
      <c r="O347" s="1" t="str">
        <f t="shared" si="22"/>
        <v>High School Or Below</v>
      </c>
      <c r="P347" s="2" t="s">
        <v>735</v>
      </c>
      <c r="Q347" t="str">
        <f t="shared" si="23"/>
        <v>Male</v>
      </c>
    </row>
    <row r="348" spans="1:17" x14ac:dyDescent="0.25">
      <c r="A348" s="1" t="s">
        <v>509</v>
      </c>
      <c r="B348" s="2" t="s">
        <v>462</v>
      </c>
      <c r="C348" s="3">
        <v>1000</v>
      </c>
      <c r="D348" s="3">
        <v>30</v>
      </c>
      <c r="E348" s="18">
        <v>42683</v>
      </c>
      <c r="F348" s="18">
        <v>42624</v>
      </c>
      <c r="H348" s="3">
        <v>29</v>
      </c>
      <c r="I348" s="2" t="s">
        <v>730</v>
      </c>
      <c r="J348" s="1" t="str">
        <f t="shared" si="20"/>
        <v>1 - 39 Days</v>
      </c>
      <c r="K348" s="3">
        <v>31</v>
      </c>
      <c r="L348" s="2" t="s">
        <v>745</v>
      </c>
      <c r="M348" t="str">
        <f t="shared" si="21"/>
        <v>Middle Aged</v>
      </c>
      <c r="N348" s="2" t="s">
        <v>737</v>
      </c>
      <c r="O348" s="1" t="str">
        <f t="shared" si="22"/>
        <v>High School Or Below</v>
      </c>
      <c r="P348" s="2" t="s">
        <v>735</v>
      </c>
      <c r="Q348" t="str">
        <f t="shared" si="23"/>
        <v>Male</v>
      </c>
    </row>
    <row r="349" spans="1:17" x14ac:dyDescent="0.25">
      <c r="A349" s="1" t="s">
        <v>510</v>
      </c>
      <c r="B349" s="2" t="s">
        <v>462</v>
      </c>
      <c r="C349" s="3">
        <v>800</v>
      </c>
      <c r="D349" s="3">
        <v>15</v>
      </c>
      <c r="E349" s="18">
        <v>42683</v>
      </c>
      <c r="F349" s="18" t="s">
        <v>63</v>
      </c>
      <c r="H349" s="3">
        <v>74</v>
      </c>
      <c r="I349" s="2" t="s">
        <v>729</v>
      </c>
      <c r="J349" s="1" t="str">
        <f t="shared" si="20"/>
        <v>40 - 80 Days</v>
      </c>
      <c r="K349" s="3">
        <v>40</v>
      </c>
      <c r="L349" s="2" t="s">
        <v>743</v>
      </c>
      <c r="M349" t="str">
        <f t="shared" si="21"/>
        <v>Mature</v>
      </c>
      <c r="N349" s="2" t="s">
        <v>739</v>
      </c>
      <c r="O349" s="1" t="str">
        <f t="shared" si="22"/>
        <v>College</v>
      </c>
      <c r="P349" s="2" t="s">
        <v>735</v>
      </c>
      <c r="Q349" t="str">
        <f t="shared" si="23"/>
        <v>Male</v>
      </c>
    </row>
    <row r="350" spans="1:17" x14ac:dyDescent="0.25">
      <c r="A350" s="1" t="s">
        <v>511</v>
      </c>
      <c r="B350" s="2" t="s">
        <v>462</v>
      </c>
      <c r="C350" s="3">
        <v>1000</v>
      </c>
      <c r="D350" s="3">
        <v>30</v>
      </c>
      <c r="E350" s="18">
        <v>42683</v>
      </c>
      <c r="F350" s="18">
        <v>42653</v>
      </c>
      <c r="H350" s="3">
        <v>59</v>
      </c>
      <c r="I350" s="2" t="s">
        <v>729</v>
      </c>
      <c r="J350" s="1" t="str">
        <f t="shared" si="20"/>
        <v>40 - 80 Days</v>
      </c>
      <c r="K350" s="3">
        <v>32</v>
      </c>
      <c r="L350" s="2" t="s">
        <v>745</v>
      </c>
      <c r="M350" t="str">
        <f t="shared" si="21"/>
        <v>Middle Aged</v>
      </c>
      <c r="N350" s="2" t="s">
        <v>737</v>
      </c>
      <c r="O350" s="1" t="str">
        <f t="shared" si="22"/>
        <v>High School Or Below</v>
      </c>
      <c r="P350" s="2" t="s">
        <v>735</v>
      </c>
      <c r="Q350" t="str">
        <f t="shared" si="23"/>
        <v>Male</v>
      </c>
    </row>
    <row r="351" spans="1:17" x14ac:dyDescent="0.25">
      <c r="A351" s="1" t="s">
        <v>512</v>
      </c>
      <c r="B351" s="2" t="s">
        <v>462</v>
      </c>
      <c r="C351" s="3">
        <v>800</v>
      </c>
      <c r="D351" s="3">
        <v>15</v>
      </c>
      <c r="E351" s="18">
        <v>42683</v>
      </c>
      <c r="F351" s="18" t="s">
        <v>63</v>
      </c>
      <c r="H351" s="3">
        <v>74</v>
      </c>
      <c r="I351" s="2" t="s">
        <v>729</v>
      </c>
      <c r="J351" s="1" t="str">
        <f t="shared" si="20"/>
        <v>40 - 80 Days</v>
      </c>
      <c r="K351" s="3">
        <v>29</v>
      </c>
      <c r="L351" s="2" t="s">
        <v>745</v>
      </c>
      <c r="M351" t="str">
        <f t="shared" si="21"/>
        <v>Middle Aged</v>
      </c>
      <c r="N351" s="2" t="s">
        <v>739</v>
      </c>
      <c r="O351" s="1" t="str">
        <f t="shared" si="22"/>
        <v>College</v>
      </c>
      <c r="P351" s="2" t="s">
        <v>735</v>
      </c>
      <c r="Q351" t="str">
        <f t="shared" si="23"/>
        <v>Male</v>
      </c>
    </row>
    <row r="352" spans="1:17" x14ac:dyDescent="0.25">
      <c r="A352" s="1" t="s">
        <v>513</v>
      </c>
      <c r="B352" s="2" t="s">
        <v>462</v>
      </c>
      <c r="C352" s="3">
        <v>1000</v>
      </c>
      <c r="D352" s="3">
        <v>30</v>
      </c>
      <c r="E352" s="18">
        <v>42683</v>
      </c>
      <c r="F352" s="18">
        <v>42653</v>
      </c>
      <c r="H352" s="3">
        <v>59</v>
      </c>
      <c r="I352" s="2" t="s">
        <v>729</v>
      </c>
      <c r="J352" s="1" t="str">
        <f t="shared" si="20"/>
        <v>40 - 80 Days</v>
      </c>
      <c r="K352" s="3">
        <v>26</v>
      </c>
      <c r="L352" s="2" t="s">
        <v>745</v>
      </c>
      <c r="M352" t="str">
        <f t="shared" si="21"/>
        <v>Middle Aged</v>
      </c>
      <c r="N352" s="2" t="s">
        <v>737</v>
      </c>
      <c r="O352" s="1" t="str">
        <f t="shared" si="22"/>
        <v>High School Or Below</v>
      </c>
      <c r="P352" s="2" t="s">
        <v>735</v>
      </c>
      <c r="Q352" t="str">
        <f t="shared" si="23"/>
        <v>Male</v>
      </c>
    </row>
    <row r="353" spans="1:17" x14ac:dyDescent="0.25">
      <c r="A353" s="1" t="s">
        <v>514</v>
      </c>
      <c r="B353" s="2" t="s">
        <v>462</v>
      </c>
      <c r="C353" s="3">
        <v>1000</v>
      </c>
      <c r="D353" s="3">
        <v>15</v>
      </c>
      <c r="E353" s="18">
        <v>42683</v>
      </c>
      <c r="F353" s="18" t="s">
        <v>63</v>
      </c>
      <c r="H353" s="3">
        <v>74</v>
      </c>
      <c r="I353" s="2" t="s">
        <v>729</v>
      </c>
      <c r="J353" s="1" t="str">
        <f t="shared" si="20"/>
        <v>40 - 80 Days</v>
      </c>
      <c r="K353" s="3">
        <v>25</v>
      </c>
      <c r="L353" s="2" t="s">
        <v>746</v>
      </c>
      <c r="M353" t="str">
        <f t="shared" si="21"/>
        <v xml:space="preserve"> Young Adults</v>
      </c>
      <c r="N353" s="2" t="s">
        <v>739</v>
      </c>
      <c r="O353" s="1" t="str">
        <f t="shared" si="22"/>
        <v>College</v>
      </c>
      <c r="P353" s="2" t="s">
        <v>735</v>
      </c>
      <c r="Q353" t="str">
        <f t="shared" si="23"/>
        <v>Male</v>
      </c>
    </row>
    <row r="354" spans="1:17" x14ac:dyDescent="0.25">
      <c r="A354" s="1" t="s">
        <v>515</v>
      </c>
      <c r="B354" s="2" t="s">
        <v>462</v>
      </c>
      <c r="C354" s="3">
        <v>1000</v>
      </c>
      <c r="D354" s="3">
        <v>30</v>
      </c>
      <c r="E354" s="18">
        <v>42683</v>
      </c>
      <c r="F354" s="18">
        <v>42653</v>
      </c>
      <c r="H354" s="3">
        <v>59</v>
      </c>
      <c r="I354" s="2" t="s">
        <v>729</v>
      </c>
      <c r="J354" s="1" t="str">
        <f t="shared" si="20"/>
        <v>40 - 80 Days</v>
      </c>
      <c r="K354" s="3">
        <v>35</v>
      </c>
      <c r="L354" s="2" t="s">
        <v>743</v>
      </c>
      <c r="M354" t="str">
        <f t="shared" si="21"/>
        <v>Mature</v>
      </c>
      <c r="N354" s="2" t="s">
        <v>737</v>
      </c>
      <c r="O354" s="1" t="str">
        <f t="shared" si="22"/>
        <v>High School Or Below</v>
      </c>
      <c r="P354" s="2" t="s">
        <v>735</v>
      </c>
      <c r="Q354" t="str">
        <f t="shared" si="23"/>
        <v>Male</v>
      </c>
    </row>
    <row r="355" spans="1:17" x14ac:dyDescent="0.25">
      <c r="A355" s="1" t="s">
        <v>516</v>
      </c>
      <c r="B355" s="2" t="s">
        <v>462</v>
      </c>
      <c r="C355" s="3">
        <v>1000</v>
      </c>
      <c r="D355" s="3">
        <v>30</v>
      </c>
      <c r="E355" s="18">
        <v>42683</v>
      </c>
      <c r="F355" s="18">
        <v>42653</v>
      </c>
      <c r="H355" s="3">
        <v>59</v>
      </c>
      <c r="I355" s="2" t="s">
        <v>729</v>
      </c>
      <c r="J355" s="1" t="str">
        <f t="shared" si="20"/>
        <v>40 - 80 Days</v>
      </c>
      <c r="K355" s="3">
        <v>41</v>
      </c>
      <c r="L355" s="2" t="s">
        <v>743</v>
      </c>
      <c r="M355" t="str">
        <f t="shared" si="21"/>
        <v>Mature</v>
      </c>
      <c r="N355" s="2" t="s">
        <v>737</v>
      </c>
      <c r="O355" s="1" t="str">
        <f t="shared" si="22"/>
        <v>High School Or Below</v>
      </c>
      <c r="P355" s="2" t="s">
        <v>735</v>
      </c>
      <c r="Q355" t="str">
        <f t="shared" si="23"/>
        <v>Male</v>
      </c>
    </row>
    <row r="356" spans="1:17" x14ac:dyDescent="0.25">
      <c r="A356" s="1" t="s">
        <v>517</v>
      </c>
      <c r="B356" s="2" t="s">
        <v>462</v>
      </c>
      <c r="C356" s="3">
        <v>1000</v>
      </c>
      <c r="D356" s="3">
        <v>30</v>
      </c>
      <c r="E356" s="18">
        <v>42683</v>
      </c>
      <c r="F356" s="18">
        <v>42653</v>
      </c>
      <c r="H356" s="3">
        <v>59</v>
      </c>
      <c r="I356" s="2" t="s">
        <v>729</v>
      </c>
      <c r="J356" s="1" t="str">
        <f t="shared" si="20"/>
        <v>40 - 80 Days</v>
      </c>
      <c r="K356" s="3">
        <v>37</v>
      </c>
      <c r="L356" s="2" t="s">
        <v>743</v>
      </c>
      <c r="M356" t="str">
        <f t="shared" si="21"/>
        <v>Mature</v>
      </c>
      <c r="N356" s="2" t="s">
        <v>737</v>
      </c>
      <c r="O356" s="1" t="str">
        <f t="shared" si="22"/>
        <v>High School Or Below</v>
      </c>
      <c r="P356" s="2" t="s">
        <v>735</v>
      </c>
      <c r="Q356" t="str">
        <f t="shared" si="23"/>
        <v>Male</v>
      </c>
    </row>
    <row r="357" spans="1:17" x14ac:dyDescent="0.25">
      <c r="A357" s="1" t="s">
        <v>518</v>
      </c>
      <c r="B357" s="2" t="s">
        <v>462</v>
      </c>
      <c r="C357" s="3">
        <v>1000</v>
      </c>
      <c r="D357" s="3">
        <v>15</v>
      </c>
      <c r="E357" s="18">
        <v>42683</v>
      </c>
      <c r="F357" s="18">
        <v>42653</v>
      </c>
      <c r="H357" s="3">
        <v>59</v>
      </c>
      <c r="I357" s="2" t="s">
        <v>729</v>
      </c>
      <c r="J357" s="1" t="str">
        <f t="shared" si="20"/>
        <v>40 - 80 Days</v>
      </c>
      <c r="K357" s="3">
        <v>34</v>
      </c>
      <c r="L357" s="2" t="s">
        <v>743</v>
      </c>
      <c r="M357" t="str">
        <f t="shared" si="21"/>
        <v>Mature</v>
      </c>
      <c r="N357" s="2" t="s">
        <v>739</v>
      </c>
      <c r="O357" s="1" t="str">
        <f t="shared" si="22"/>
        <v>College</v>
      </c>
      <c r="P357" s="2" t="s">
        <v>735</v>
      </c>
      <c r="Q357" t="str">
        <f t="shared" si="23"/>
        <v>Male</v>
      </c>
    </row>
    <row r="358" spans="1:17" x14ac:dyDescent="0.25">
      <c r="A358" s="1" t="s">
        <v>519</v>
      </c>
      <c r="B358" s="2" t="s">
        <v>462</v>
      </c>
      <c r="C358" s="3">
        <v>1000</v>
      </c>
      <c r="D358" s="3">
        <v>30</v>
      </c>
      <c r="E358" s="18">
        <v>42683</v>
      </c>
      <c r="F358" s="18">
        <v>42653</v>
      </c>
      <c r="H358" s="3">
        <v>59</v>
      </c>
      <c r="I358" s="2" t="s">
        <v>729</v>
      </c>
      <c r="J358" s="1" t="str">
        <f t="shared" si="20"/>
        <v>40 - 80 Days</v>
      </c>
      <c r="K358" s="3">
        <v>45</v>
      </c>
      <c r="L358" s="2" t="s">
        <v>743</v>
      </c>
      <c r="M358" t="str">
        <f t="shared" si="21"/>
        <v>Mature</v>
      </c>
      <c r="N358" s="2" t="s">
        <v>737</v>
      </c>
      <c r="O358" s="1" t="str">
        <f t="shared" si="22"/>
        <v>High School Or Below</v>
      </c>
      <c r="P358" s="2" t="s">
        <v>735</v>
      </c>
      <c r="Q358" t="str">
        <f t="shared" si="23"/>
        <v>Male</v>
      </c>
    </row>
    <row r="359" spans="1:17" x14ac:dyDescent="0.25">
      <c r="A359" s="1" t="s">
        <v>520</v>
      </c>
      <c r="B359" s="2" t="s">
        <v>462</v>
      </c>
      <c r="C359" s="3">
        <v>1000</v>
      </c>
      <c r="D359" s="3">
        <v>30</v>
      </c>
      <c r="E359" s="18">
        <v>42683</v>
      </c>
      <c r="F359" s="18">
        <v>42653</v>
      </c>
      <c r="H359" s="3">
        <v>59</v>
      </c>
      <c r="I359" s="2" t="s">
        <v>729</v>
      </c>
      <c r="J359" s="1" t="str">
        <f t="shared" si="20"/>
        <v>40 - 80 Days</v>
      </c>
      <c r="K359" s="3">
        <v>26</v>
      </c>
      <c r="L359" s="2" t="s">
        <v>745</v>
      </c>
      <c r="M359" t="str">
        <f t="shared" si="21"/>
        <v>Middle Aged</v>
      </c>
      <c r="N359" s="2" t="s">
        <v>738</v>
      </c>
      <c r="O359" s="1" t="str">
        <f t="shared" si="22"/>
        <v>Bachelor</v>
      </c>
      <c r="P359" s="2" t="s">
        <v>735</v>
      </c>
      <c r="Q359" t="str">
        <f t="shared" si="23"/>
        <v>Male</v>
      </c>
    </row>
    <row r="360" spans="1:17" x14ac:dyDescent="0.25">
      <c r="A360" s="1" t="s">
        <v>521</v>
      </c>
      <c r="B360" s="2" t="s">
        <v>462</v>
      </c>
      <c r="C360" s="3">
        <v>1000</v>
      </c>
      <c r="D360" s="3">
        <v>30</v>
      </c>
      <c r="E360" s="18">
        <v>42683</v>
      </c>
      <c r="F360" s="18">
        <v>42653</v>
      </c>
      <c r="H360" s="3">
        <v>59</v>
      </c>
      <c r="I360" s="2" t="s">
        <v>729</v>
      </c>
      <c r="J360" s="1" t="str">
        <f t="shared" si="20"/>
        <v>40 - 80 Days</v>
      </c>
      <c r="K360" s="3">
        <v>32</v>
      </c>
      <c r="L360" s="2" t="s">
        <v>745</v>
      </c>
      <c r="M360" t="str">
        <f t="shared" si="21"/>
        <v>Middle Aged</v>
      </c>
      <c r="N360" s="2" t="s">
        <v>739</v>
      </c>
      <c r="O360" s="1" t="str">
        <f t="shared" si="22"/>
        <v>College</v>
      </c>
      <c r="P360" s="2" t="s">
        <v>735</v>
      </c>
      <c r="Q360" t="str">
        <f t="shared" si="23"/>
        <v>Male</v>
      </c>
    </row>
    <row r="361" spans="1:17" x14ac:dyDescent="0.25">
      <c r="A361" s="1" t="s">
        <v>522</v>
      </c>
      <c r="B361" s="2" t="s">
        <v>462</v>
      </c>
      <c r="C361" s="3">
        <v>1000</v>
      </c>
      <c r="D361" s="3">
        <v>30</v>
      </c>
      <c r="E361" s="18">
        <v>42683</v>
      </c>
      <c r="F361" s="18">
        <v>42653</v>
      </c>
      <c r="H361" s="3">
        <v>59</v>
      </c>
      <c r="I361" s="2" t="s">
        <v>729</v>
      </c>
      <c r="J361" s="1" t="str">
        <f t="shared" si="20"/>
        <v>40 - 80 Days</v>
      </c>
      <c r="K361" s="3">
        <v>28</v>
      </c>
      <c r="L361" s="2" t="s">
        <v>745</v>
      </c>
      <c r="M361" t="str">
        <f t="shared" si="21"/>
        <v>Middle Aged</v>
      </c>
      <c r="N361" s="2" t="s">
        <v>737</v>
      </c>
      <c r="O361" s="1" t="str">
        <f t="shared" si="22"/>
        <v>High School Or Below</v>
      </c>
      <c r="P361" s="2" t="s">
        <v>735</v>
      </c>
      <c r="Q361" t="str">
        <f t="shared" si="23"/>
        <v>Male</v>
      </c>
    </row>
    <row r="362" spans="1:17" x14ac:dyDescent="0.25">
      <c r="A362" s="1" t="s">
        <v>523</v>
      </c>
      <c r="B362" s="2" t="s">
        <v>462</v>
      </c>
      <c r="C362" s="3">
        <v>1000</v>
      </c>
      <c r="D362" s="3">
        <v>30</v>
      </c>
      <c r="E362" s="18">
        <v>42683</v>
      </c>
      <c r="F362" s="18">
        <v>42653</v>
      </c>
      <c r="H362" s="3">
        <v>59</v>
      </c>
      <c r="I362" s="2" t="s">
        <v>729</v>
      </c>
      <c r="J362" s="1" t="str">
        <f t="shared" si="20"/>
        <v>40 - 80 Days</v>
      </c>
      <c r="K362" s="3">
        <v>34</v>
      </c>
      <c r="L362" s="2" t="s">
        <v>743</v>
      </c>
      <c r="M362" t="str">
        <f t="shared" si="21"/>
        <v>Mature</v>
      </c>
      <c r="N362" s="2" t="s">
        <v>739</v>
      </c>
      <c r="O362" s="1" t="str">
        <f t="shared" si="22"/>
        <v>College</v>
      </c>
      <c r="P362" s="2" t="s">
        <v>735</v>
      </c>
      <c r="Q362" t="str">
        <f t="shared" si="23"/>
        <v>Male</v>
      </c>
    </row>
    <row r="363" spans="1:17" x14ac:dyDescent="0.25">
      <c r="A363" s="1" t="s">
        <v>524</v>
      </c>
      <c r="B363" s="2" t="s">
        <v>462</v>
      </c>
      <c r="C363" s="3">
        <v>800</v>
      </c>
      <c r="D363" s="3">
        <v>15</v>
      </c>
      <c r="E363" s="18">
        <v>42683</v>
      </c>
      <c r="F363" s="18" t="s">
        <v>63</v>
      </c>
      <c r="H363" s="3">
        <v>74</v>
      </c>
      <c r="I363" s="2" t="s">
        <v>729</v>
      </c>
      <c r="J363" s="1" t="str">
        <f t="shared" si="20"/>
        <v>40 - 80 Days</v>
      </c>
      <c r="K363" s="3">
        <v>29</v>
      </c>
      <c r="L363" s="2" t="s">
        <v>745</v>
      </c>
      <c r="M363" t="str">
        <f t="shared" si="21"/>
        <v>Middle Aged</v>
      </c>
      <c r="N363" s="2" t="s">
        <v>737</v>
      </c>
      <c r="O363" s="1" t="str">
        <f t="shared" si="22"/>
        <v>High School Or Below</v>
      </c>
      <c r="P363" s="2" t="s">
        <v>735</v>
      </c>
      <c r="Q363" t="str">
        <f t="shared" si="23"/>
        <v>Male</v>
      </c>
    </row>
    <row r="364" spans="1:17" x14ac:dyDescent="0.25">
      <c r="A364" s="1" t="s">
        <v>525</v>
      </c>
      <c r="B364" s="2" t="s">
        <v>462</v>
      </c>
      <c r="C364" s="3">
        <v>1000</v>
      </c>
      <c r="D364" s="3">
        <v>30</v>
      </c>
      <c r="E364" s="18">
        <v>42683</v>
      </c>
      <c r="F364" s="18">
        <v>42653</v>
      </c>
      <c r="H364" s="3">
        <v>59</v>
      </c>
      <c r="I364" s="2" t="s">
        <v>729</v>
      </c>
      <c r="J364" s="1" t="str">
        <f t="shared" si="20"/>
        <v>40 - 80 Days</v>
      </c>
      <c r="K364" s="3">
        <v>26</v>
      </c>
      <c r="L364" s="2" t="s">
        <v>745</v>
      </c>
      <c r="M364" t="str">
        <f t="shared" si="21"/>
        <v>Middle Aged</v>
      </c>
      <c r="N364" s="2" t="s">
        <v>737</v>
      </c>
      <c r="O364" s="1" t="str">
        <f t="shared" si="22"/>
        <v>High School Or Below</v>
      </c>
      <c r="P364" s="2" t="s">
        <v>735</v>
      </c>
      <c r="Q364" t="str">
        <f t="shared" si="23"/>
        <v>Male</v>
      </c>
    </row>
    <row r="365" spans="1:17" x14ac:dyDescent="0.25">
      <c r="A365" s="1" t="s">
        <v>526</v>
      </c>
      <c r="B365" s="2" t="s">
        <v>462</v>
      </c>
      <c r="C365" s="3">
        <v>1000</v>
      </c>
      <c r="D365" s="3">
        <v>15</v>
      </c>
      <c r="E365" s="18">
        <v>42683</v>
      </c>
      <c r="F365" s="18" t="s">
        <v>63</v>
      </c>
      <c r="H365" s="3">
        <v>74</v>
      </c>
      <c r="I365" s="2" t="s">
        <v>729</v>
      </c>
      <c r="J365" s="1" t="str">
        <f t="shared" si="20"/>
        <v>40 - 80 Days</v>
      </c>
      <c r="K365" s="3">
        <v>26</v>
      </c>
      <c r="L365" s="2" t="s">
        <v>745</v>
      </c>
      <c r="M365" t="str">
        <f t="shared" si="21"/>
        <v>Middle Aged</v>
      </c>
      <c r="N365" s="2" t="s">
        <v>739</v>
      </c>
      <c r="O365" s="1" t="str">
        <f t="shared" si="22"/>
        <v>College</v>
      </c>
      <c r="P365" s="2" t="s">
        <v>735</v>
      </c>
      <c r="Q365" t="str">
        <f t="shared" si="23"/>
        <v>Male</v>
      </c>
    </row>
    <row r="366" spans="1:17" x14ac:dyDescent="0.25">
      <c r="A366" s="1" t="s">
        <v>527</v>
      </c>
      <c r="B366" s="2" t="s">
        <v>462</v>
      </c>
      <c r="C366" s="3">
        <v>800</v>
      </c>
      <c r="D366" s="3">
        <v>15</v>
      </c>
      <c r="E366" s="18">
        <v>42683</v>
      </c>
      <c r="F366" s="18" t="s">
        <v>63</v>
      </c>
      <c r="H366" s="3">
        <v>74</v>
      </c>
      <c r="I366" s="2" t="s">
        <v>729</v>
      </c>
      <c r="J366" s="1" t="str">
        <f t="shared" si="20"/>
        <v>40 - 80 Days</v>
      </c>
      <c r="K366" s="3">
        <v>22</v>
      </c>
      <c r="L366" s="2" t="s">
        <v>746</v>
      </c>
      <c r="M366" t="str">
        <f t="shared" si="21"/>
        <v xml:space="preserve"> Young Adults</v>
      </c>
      <c r="N366" s="2" t="s">
        <v>739</v>
      </c>
      <c r="O366" s="1" t="str">
        <f t="shared" si="22"/>
        <v>College</v>
      </c>
      <c r="P366" s="2" t="s">
        <v>735</v>
      </c>
      <c r="Q366" t="str">
        <f t="shared" si="23"/>
        <v>Male</v>
      </c>
    </row>
    <row r="367" spans="1:17" x14ac:dyDescent="0.25">
      <c r="A367" s="1" t="s">
        <v>528</v>
      </c>
      <c r="B367" s="2" t="s">
        <v>462</v>
      </c>
      <c r="C367" s="3">
        <v>1000</v>
      </c>
      <c r="D367" s="3">
        <v>30</v>
      </c>
      <c r="E367" s="18">
        <v>42683</v>
      </c>
      <c r="F367" s="18">
        <v>42653</v>
      </c>
      <c r="H367" s="3">
        <v>59</v>
      </c>
      <c r="I367" s="2" t="s">
        <v>729</v>
      </c>
      <c r="J367" s="1" t="str">
        <f t="shared" si="20"/>
        <v>40 - 80 Days</v>
      </c>
      <c r="K367" s="3">
        <v>27</v>
      </c>
      <c r="L367" s="2" t="s">
        <v>745</v>
      </c>
      <c r="M367" t="str">
        <f t="shared" si="21"/>
        <v>Middle Aged</v>
      </c>
      <c r="N367" s="2" t="s">
        <v>737</v>
      </c>
      <c r="O367" s="1" t="str">
        <f t="shared" si="22"/>
        <v>High School Or Below</v>
      </c>
      <c r="P367" s="2" t="s">
        <v>736</v>
      </c>
      <c r="Q367" t="str">
        <f t="shared" si="23"/>
        <v>Female</v>
      </c>
    </row>
    <row r="368" spans="1:17" x14ac:dyDescent="0.25">
      <c r="A368" s="1" t="s">
        <v>529</v>
      </c>
      <c r="B368" s="2" t="s">
        <v>462</v>
      </c>
      <c r="C368" s="3">
        <v>800</v>
      </c>
      <c r="D368" s="3">
        <v>30</v>
      </c>
      <c r="E368" s="18">
        <v>42683</v>
      </c>
      <c r="F368" s="18">
        <v>42653</v>
      </c>
      <c r="H368" s="3">
        <v>59</v>
      </c>
      <c r="I368" s="2" t="s">
        <v>729</v>
      </c>
      <c r="J368" s="1" t="str">
        <f t="shared" si="20"/>
        <v>40 - 80 Days</v>
      </c>
      <c r="K368" s="3">
        <v>33</v>
      </c>
      <c r="L368" s="2" t="s">
        <v>745</v>
      </c>
      <c r="M368" t="str">
        <f t="shared" si="21"/>
        <v>Middle Aged</v>
      </c>
      <c r="N368" s="2" t="s">
        <v>737</v>
      </c>
      <c r="O368" s="1" t="str">
        <f t="shared" si="22"/>
        <v>High School Or Below</v>
      </c>
      <c r="P368" s="2" t="s">
        <v>735</v>
      </c>
      <c r="Q368" t="str">
        <f t="shared" si="23"/>
        <v>Male</v>
      </c>
    </row>
    <row r="369" spans="1:17" x14ac:dyDescent="0.25">
      <c r="A369" s="1" t="s">
        <v>530</v>
      </c>
      <c r="B369" s="2" t="s">
        <v>462</v>
      </c>
      <c r="C369" s="3">
        <v>800</v>
      </c>
      <c r="D369" s="3">
        <v>15</v>
      </c>
      <c r="E369" s="18">
        <v>42683</v>
      </c>
      <c r="F369" s="18" t="s">
        <v>63</v>
      </c>
      <c r="H369" s="3">
        <v>74</v>
      </c>
      <c r="I369" s="2" t="s">
        <v>729</v>
      </c>
      <c r="J369" s="1" t="str">
        <f t="shared" si="20"/>
        <v>40 - 80 Days</v>
      </c>
      <c r="K369" s="3">
        <v>28</v>
      </c>
      <c r="L369" s="2" t="s">
        <v>745</v>
      </c>
      <c r="M369" t="str">
        <f t="shared" si="21"/>
        <v>Middle Aged</v>
      </c>
      <c r="N369" s="2" t="s">
        <v>738</v>
      </c>
      <c r="O369" s="1" t="str">
        <f t="shared" si="22"/>
        <v>Bachelor</v>
      </c>
      <c r="P369" s="2" t="s">
        <v>735</v>
      </c>
      <c r="Q369" t="str">
        <f t="shared" si="23"/>
        <v>Male</v>
      </c>
    </row>
    <row r="370" spans="1:17" x14ac:dyDescent="0.25">
      <c r="A370" s="1" t="s">
        <v>531</v>
      </c>
      <c r="B370" s="2" t="s">
        <v>462</v>
      </c>
      <c r="C370" s="3">
        <v>1000</v>
      </c>
      <c r="D370" s="3">
        <v>30</v>
      </c>
      <c r="E370" s="18">
        <v>42683</v>
      </c>
      <c r="F370" s="18">
        <v>42653</v>
      </c>
      <c r="H370" s="3">
        <v>59</v>
      </c>
      <c r="I370" s="2" t="s">
        <v>729</v>
      </c>
      <c r="J370" s="1" t="str">
        <f t="shared" si="20"/>
        <v>40 - 80 Days</v>
      </c>
      <c r="K370" s="3">
        <v>24</v>
      </c>
      <c r="L370" s="2" t="s">
        <v>746</v>
      </c>
      <c r="M370" t="str">
        <f t="shared" si="21"/>
        <v xml:space="preserve"> Young Adults</v>
      </c>
      <c r="N370" s="2" t="s">
        <v>739</v>
      </c>
      <c r="O370" s="1" t="str">
        <f t="shared" si="22"/>
        <v>College</v>
      </c>
      <c r="P370" s="2" t="s">
        <v>735</v>
      </c>
      <c r="Q370" t="str">
        <f t="shared" si="23"/>
        <v>Male</v>
      </c>
    </row>
    <row r="371" spans="1:17" x14ac:dyDescent="0.25">
      <c r="A371" s="1" t="s">
        <v>532</v>
      </c>
      <c r="B371" s="2" t="s">
        <v>462</v>
      </c>
      <c r="C371" s="3">
        <v>1000</v>
      </c>
      <c r="D371" s="3">
        <v>30</v>
      </c>
      <c r="E371" s="18">
        <v>42683</v>
      </c>
      <c r="F371" s="18">
        <v>42653</v>
      </c>
      <c r="H371" s="3">
        <v>59</v>
      </c>
      <c r="I371" s="2" t="s">
        <v>729</v>
      </c>
      <c r="J371" s="1" t="str">
        <f t="shared" si="20"/>
        <v>40 - 80 Days</v>
      </c>
      <c r="K371" s="3">
        <v>37</v>
      </c>
      <c r="L371" s="2" t="s">
        <v>743</v>
      </c>
      <c r="M371" t="str">
        <f t="shared" si="21"/>
        <v>Mature</v>
      </c>
      <c r="N371" s="2" t="s">
        <v>737</v>
      </c>
      <c r="O371" s="1" t="str">
        <f t="shared" si="22"/>
        <v>High School Or Below</v>
      </c>
      <c r="P371" s="2" t="s">
        <v>735</v>
      </c>
      <c r="Q371" t="str">
        <f t="shared" si="23"/>
        <v>Male</v>
      </c>
    </row>
    <row r="372" spans="1:17" x14ac:dyDescent="0.25">
      <c r="A372" s="1" t="s">
        <v>533</v>
      </c>
      <c r="B372" s="2" t="s">
        <v>462</v>
      </c>
      <c r="C372" s="3">
        <v>800</v>
      </c>
      <c r="D372" s="3">
        <v>15</v>
      </c>
      <c r="E372" s="18">
        <v>42683</v>
      </c>
      <c r="F372" s="18" t="s">
        <v>63</v>
      </c>
      <c r="H372" s="3">
        <v>74</v>
      </c>
      <c r="I372" s="2" t="s">
        <v>729</v>
      </c>
      <c r="J372" s="1" t="str">
        <f t="shared" si="20"/>
        <v>40 - 80 Days</v>
      </c>
      <c r="K372" s="3">
        <v>36</v>
      </c>
      <c r="L372" s="2" t="s">
        <v>743</v>
      </c>
      <c r="M372" t="str">
        <f t="shared" si="21"/>
        <v>Mature</v>
      </c>
      <c r="N372" s="2" t="s">
        <v>737</v>
      </c>
      <c r="O372" s="1" t="str">
        <f t="shared" si="22"/>
        <v>High School Or Below</v>
      </c>
      <c r="P372" s="2" t="s">
        <v>735</v>
      </c>
      <c r="Q372" t="str">
        <f t="shared" si="23"/>
        <v>Male</v>
      </c>
    </row>
    <row r="373" spans="1:17" x14ac:dyDescent="0.25">
      <c r="A373" s="1" t="s">
        <v>534</v>
      </c>
      <c r="B373" s="2" t="s">
        <v>462</v>
      </c>
      <c r="C373" s="3">
        <v>1000</v>
      </c>
      <c r="D373" s="3">
        <v>30</v>
      </c>
      <c r="E373" s="18">
        <v>42683</v>
      </c>
      <c r="F373" s="18">
        <v>42653</v>
      </c>
      <c r="H373" s="3">
        <v>59</v>
      </c>
      <c r="I373" s="2" t="s">
        <v>729</v>
      </c>
      <c r="J373" s="1" t="str">
        <f t="shared" si="20"/>
        <v>40 - 80 Days</v>
      </c>
      <c r="K373" s="3">
        <v>18</v>
      </c>
      <c r="L373" s="2" t="s">
        <v>746</v>
      </c>
      <c r="M373" t="str">
        <f t="shared" si="21"/>
        <v xml:space="preserve"> Young Adults</v>
      </c>
      <c r="N373" s="2" t="s">
        <v>739</v>
      </c>
      <c r="O373" s="1" t="str">
        <f t="shared" si="22"/>
        <v>College</v>
      </c>
      <c r="P373" s="2" t="s">
        <v>735</v>
      </c>
      <c r="Q373" t="str">
        <f t="shared" si="23"/>
        <v>Male</v>
      </c>
    </row>
    <row r="374" spans="1:17" x14ac:dyDescent="0.25">
      <c r="A374" s="1" t="s">
        <v>535</v>
      </c>
      <c r="B374" s="2" t="s">
        <v>462</v>
      </c>
      <c r="C374" s="3">
        <v>800</v>
      </c>
      <c r="D374" s="3">
        <v>15</v>
      </c>
      <c r="E374" s="18">
        <v>42683</v>
      </c>
      <c r="F374" s="18" t="s">
        <v>63</v>
      </c>
      <c r="H374" s="3">
        <v>74</v>
      </c>
      <c r="I374" s="2" t="s">
        <v>729</v>
      </c>
      <c r="J374" s="1" t="str">
        <f t="shared" si="20"/>
        <v>40 - 80 Days</v>
      </c>
      <c r="K374" s="3">
        <v>25</v>
      </c>
      <c r="L374" s="2" t="s">
        <v>746</v>
      </c>
      <c r="M374" t="str">
        <f t="shared" si="21"/>
        <v xml:space="preserve"> Young Adults</v>
      </c>
      <c r="N374" s="2" t="s">
        <v>737</v>
      </c>
      <c r="O374" s="1" t="str">
        <f t="shared" si="22"/>
        <v>High School Or Below</v>
      </c>
      <c r="P374" s="2" t="s">
        <v>735</v>
      </c>
      <c r="Q374" t="str">
        <f t="shared" si="23"/>
        <v>Male</v>
      </c>
    </row>
    <row r="375" spans="1:17" x14ac:dyDescent="0.25">
      <c r="A375" s="1" t="s">
        <v>536</v>
      </c>
      <c r="B375" s="2" t="s">
        <v>462</v>
      </c>
      <c r="C375" s="3">
        <v>1000</v>
      </c>
      <c r="D375" s="3">
        <v>15</v>
      </c>
      <c r="E375" s="18">
        <v>42683</v>
      </c>
      <c r="F375" s="18" t="s">
        <v>63</v>
      </c>
      <c r="H375" s="3">
        <v>74</v>
      </c>
      <c r="I375" s="2" t="s">
        <v>729</v>
      </c>
      <c r="J375" s="1" t="str">
        <f t="shared" si="20"/>
        <v>40 - 80 Days</v>
      </c>
      <c r="K375" s="3">
        <v>40</v>
      </c>
      <c r="L375" s="2" t="s">
        <v>743</v>
      </c>
      <c r="M375" t="str">
        <f t="shared" si="21"/>
        <v>Mature</v>
      </c>
      <c r="N375" s="2" t="s">
        <v>737</v>
      </c>
      <c r="O375" s="1" t="str">
        <f t="shared" si="22"/>
        <v>High School Or Below</v>
      </c>
      <c r="P375" s="2" t="s">
        <v>735</v>
      </c>
      <c r="Q375" t="str">
        <f t="shared" si="23"/>
        <v>Male</v>
      </c>
    </row>
    <row r="376" spans="1:17" x14ac:dyDescent="0.25">
      <c r="A376" s="1" t="s">
        <v>537</v>
      </c>
      <c r="B376" s="2" t="s">
        <v>462</v>
      </c>
      <c r="C376" s="3">
        <v>1000</v>
      </c>
      <c r="D376" s="3">
        <v>30</v>
      </c>
      <c r="E376" s="18">
        <v>42683</v>
      </c>
      <c r="F376" s="18">
        <v>42653</v>
      </c>
      <c r="H376" s="3">
        <v>59</v>
      </c>
      <c r="I376" s="2" t="s">
        <v>729</v>
      </c>
      <c r="J376" s="1" t="str">
        <f t="shared" si="20"/>
        <v>40 - 80 Days</v>
      </c>
      <c r="K376" s="3">
        <v>29</v>
      </c>
      <c r="L376" s="2" t="s">
        <v>745</v>
      </c>
      <c r="M376" t="str">
        <f t="shared" si="21"/>
        <v>Middle Aged</v>
      </c>
      <c r="N376" s="2" t="s">
        <v>739</v>
      </c>
      <c r="O376" s="1" t="str">
        <f t="shared" si="22"/>
        <v>College</v>
      </c>
      <c r="P376" s="2" t="s">
        <v>735</v>
      </c>
      <c r="Q376" t="str">
        <f t="shared" si="23"/>
        <v>Male</v>
      </c>
    </row>
    <row r="377" spans="1:17" x14ac:dyDescent="0.25">
      <c r="A377" s="1" t="s">
        <v>538</v>
      </c>
      <c r="B377" s="2" t="s">
        <v>462</v>
      </c>
      <c r="C377" s="3">
        <v>800</v>
      </c>
      <c r="D377" s="3">
        <v>15</v>
      </c>
      <c r="E377" s="18">
        <v>42683</v>
      </c>
      <c r="F377" s="18" t="s">
        <v>63</v>
      </c>
      <c r="H377" s="3">
        <v>74</v>
      </c>
      <c r="I377" s="2" t="s">
        <v>729</v>
      </c>
      <c r="J377" s="1" t="str">
        <f t="shared" si="20"/>
        <v>40 - 80 Days</v>
      </c>
      <c r="K377" s="3">
        <v>26</v>
      </c>
      <c r="L377" s="2" t="s">
        <v>745</v>
      </c>
      <c r="M377" t="str">
        <f t="shared" si="21"/>
        <v>Middle Aged</v>
      </c>
      <c r="N377" s="2" t="s">
        <v>737</v>
      </c>
      <c r="O377" s="1" t="str">
        <f t="shared" si="22"/>
        <v>High School Or Below</v>
      </c>
      <c r="P377" s="2" t="s">
        <v>736</v>
      </c>
      <c r="Q377" t="str">
        <f t="shared" si="23"/>
        <v>Female</v>
      </c>
    </row>
    <row r="378" spans="1:17" x14ac:dyDescent="0.25">
      <c r="A378" s="1" t="s">
        <v>539</v>
      </c>
      <c r="B378" s="2" t="s">
        <v>462</v>
      </c>
      <c r="C378" s="3">
        <v>1000</v>
      </c>
      <c r="D378" s="3">
        <v>15</v>
      </c>
      <c r="E378" s="18">
        <v>42683</v>
      </c>
      <c r="F378" s="18" t="s">
        <v>63</v>
      </c>
      <c r="H378" s="3">
        <v>74</v>
      </c>
      <c r="I378" s="2" t="s">
        <v>729</v>
      </c>
      <c r="J378" s="1" t="str">
        <f t="shared" si="20"/>
        <v>40 - 80 Days</v>
      </c>
      <c r="K378" s="3">
        <v>30</v>
      </c>
      <c r="L378" s="2" t="s">
        <v>745</v>
      </c>
      <c r="M378" t="str">
        <f t="shared" si="21"/>
        <v>Middle Aged</v>
      </c>
      <c r="N378" s="2" t="s">
        <v>739</v>
      </c>
      <c r="O378" s="1" t="str">
        <f t="shared" si="22"/>
        <v>College</v>
      </c>
      <c r="P378" s="2" t="s">
        <v>735</v>
      </c>
      <c r="Q378" t="str">
        <f t="shared" si="23"/>
        <v>Male</v>
      </c>
    </row>
    <row r="379" spans="1:17" x14ac:dyDescent="0.25">
      <c r="A379" s="1" t="s">
        <v>540</v>
      </c>
      <c r="B379" s="2" t="s">
        <v>462</v>
      </c>
      <c r="C379" s="3">
        <v>1000</v>
      </c>
      <c r="D379" s="3">
        <v>30</v>
      </c>
      <c r="E379" s="18">
        <v>42683</v>
      </c>
      <c r="F379" s="18">
        <v>42653</v>
      </c>
      <c r="H379" s="3">
        <v>59</v>
      </c>
      <c r="I379" s="2" t="s">
        <v>729</v>
      </c>
      <c r="J379" s="1" t="str">
        <f t="shared" si="20"/>
        <v>40 - 80 Days</v>
      </c>
      <c r="K379" s="3">
        <v>33</v>
      </c>
      <c r="L379" s="2" t="s">
        <v>745</v>
      </c>
      <c r="M379" t="str">
        <f t="shared" si="21"/>
        <v>Middle Aged</v>
      </c>
      <c r="N379" s="2" t="s">
        <v>739</v>
      </c>
      <c r="O379" s="1" t="str">
        <f t="shared" si="22"/>
        <v>College</v>
      </c>
      <c r="P379" s="2" t="s">
        <v>735</v>
      </c>
      <c r="Q379" t="str">
        <f t="shared" si="23"/>
        <v>Male</v>
      </c>
    </row>
    <row r="380" spans="1:17" x14ac:dyDescent="0.25">
      <c r="A380" s="1" t="s">
        <v>541</v>
      </c>
      <c r="B380" s="2" t="s">
        <v>462</v>
      </c>
      <c r="C380" s="3">
        <v>1000</v>
      </c>
      <c r="D380" s="3">
        <v>30</v>
      </c>
      <c r="E380" s="18">
        <v>42683</v>
      </c>
      <c r="F380" s="18">
        <v>42653</v>
      </c>
      <c r="H380" s="3">
        <v>59</v>
      </c>
      <c r="I380" s="2" t="s">
        <v>729</v>
      </c>
      <c r="J380" s="1" t="str">
        <f t="shared" si="20"/>
        <v>40 - 80 Days</v>
      </c>
      <c r="K380" s="3">
        <v>30</v>
      </c>
      <c r="L380" s="2" t="s">
        <v>745</v>
      </c>
      <c r="M380" t="str">
        <f t="shared" si="21"/>
        <v>Middle Aged</v>
      </c>
      <c r="N380" s="2" t="s">
        <v>739</v>
      </c>
      <c r="O380" s="1" t="str">
        <f t="shared" si="22"/>
        <v>College</v>
      </c>
      <c r="P380" s="2" t="s">
        <v>735</v>
      </c>
      <c r="Q380" t="str">
        <f t="shared" si="23"/>
        <v>Male</v>
      </c>
    </row>
    <row r="381" spans="1:17" x14ac:dyDescent="0.25">
      <c r="A381" s="1" t="s">
        <v>542</v>
      </c>
      <c r="B381" s="2" t="s">
        <v>462</v>
      </c>
      <c r="C381" s="3">
        <v>1000</v>
      </c>
      <c r="D381" s="3">
        <v>30</v>
      </c>
      <c r="E381" s="18">
        <v>42683</v>
      </c>
      <c r="F381" s="18">
        <v>42653</v>
      </c>
      <c r="H381" s="3">
        <v>59</v>
      </c>
      <c r="I381" s="2" t="s">
        <v>729</v>
      </c>
      <c r="J381" s="1" t="str">
        <f t="shared" si="20"/>
        <v>40 - 80 Days</v>
      </c>
      <c r="K381" s="3">
        <v>32</v>
      </c>
      <c r="L381" s="2" t="s">
        <v>745</v>
      </c>
      <c r="M381" t="str">
        <f t="shared" si="21"/>
        <v>Middle Aged</v>
      </c>
      <c r="N381" s="2" t="s">
        <v>739</v>
      </c>
      <c r="O381" s="1" t="str">
        <f t="shared" si="22"/>
        <v>College</v>
      </c>
      <c r="P381" s="2" t="s">
        <v>735</v>
      </c>
      <c r="Q381" t="str">
        <f t="shared" si="23"/>
        <v>Male</v>
      </c>
    </row>
    <row r="382" spans="1:17" x14ac:dyDescent="0.25">
      <c r="A382" s="1" t="s">
        <v>543</v>
      </c>
      <c r="B382" s="2" t="s">
        <v>462</v>
      </c>
      <c r="C382" s="3">
        <v>1000</v>
      </c>
      <c r="D382" s="3">
        <v>30</v>
      </c>
      <c r="E382" s="18">
        <v>42683</v>
      </c>
      <c r="F382" s="18">
        <v>42653</v>
      </c>
      <c r="H382" s="3">
        <v>59</v>
      </c>
      <c r="I382" s="2" t="s">
        <v>729</v>
      </c>
      <c r="J382" s="1" t="str">
        <f t="shared" si="20"/>
        <v>40 - 80 Days</v>
      </c>
      <c r="K382" s="3">
        <v>25</v>
      </c>
      <c r="L382" s="2" t="s">
        <v>746</v>
      </c>
      <c r="M382" t="str">
        <f t="shared" si="21"/>
        <v xml:space="preserve"> Young Adults</v>
      </c>
      <c r="N382" s="2" t="s">
        <v>737</v>
      </c>
      <c r="O382" s="1" t="str">
        <f t="shared" si="22"/>
        <v>High School Or Below</v>
      </c>
      <c r="P382" s="2" t="s">
        <v>735</v>
      </c>
      <c r="Q382" t="str">
        <f t="shared" si="23"/>
        <v>Male</v>
      </c>
    </row>
    <row r="383" spans="1:17" x14ac:dyDescent="0.25">
      <c r="A383" s="1" t="s">
        <v>544</v>
      </c>
      <c r="B383" s="2" t="s">
        <v>462</v>
      </c>
      <c r="C383" s="3">
        <v>800</v>
      </c>
      <c r="D383" s="3">
        <v>15</v>
      </c>
      <c r="E383" s="18">
        <v>42683</v>
      </c>
      <c r="F383" s="18" t="s">
        <v>63</v>
      </c>
      <c r="H383" s="3">
        <v>74</v>
      </c>
      <c r="I383" s="2" t="s">
        <v>729</v>
      </c>
      <c r="J383" s="1" t="str">
        <f t="shared" si="20"/>
        <v>40 - 80 Days</v>
      </c>
      <c r="K383" s="3">
        <v>35</v>
      </c>
      <c r="L383" s="2" t="s">
        <v>743</v>
      </c>
      <c r="M383" t="str">
        <f t="shared" si="21"/>
        <v>Mature</v>
      </c>
      <c r="N383" s="2" t="s">
        <v>737</v>
      </c>
      <c r="O383" s="1" t="str">
        <f t="shared" si="22"/>
        <v>High School Or Below</v>
      </c>
      <c r="P383" s="2" t="s">
        <v>735</v>
      </c>
      <c r="Q383" t="str">
        <f t="shared" si="23"/>
        <v>Male</v>
      </c>
    </row>
    <row r="384" spans="1:17" x14ac:dyDescent="0.25">
      <c r="A384" s="1" t="s">
        <v>545</v>
      </c>
      <c r="B384" s="2" t="s">
        <v>462</v>
      </c>
      <c r="C384" s="3">
        <v>1000</v>
      </c>
      <c r="D384" s="3">
        <v>15</v>
      </c>
      <c r="E384" s="18">
        <v>42683</v>
      </c>
      <c r="F384" s="18" t="s">
        <v>63</v>
      </c>
      <c r="H384" s="3">
        <v>74</v>
      </c>
      <c r="I384" s="2" t="s">
        <v>729</v>
      </c>
      <c r="J384" s="1" t="str">
        <f t="shared" si="20"/>
        <v>40 - 80 Days</v>
      </c>
      <c r="K384" s="3">
        <v>30</v>
      </c>
      <c r="L384" s="2" t="s">
        <v>745</v>
      </c>
      <c r="M384" t="str">
        <f t="shared" si="21"/>
        <v>Middle Aged</v>
      </c>
      <c r="N384" s="2" t="s">
        <v>738</v>
      </c>
      <c r="O384" s="1" t="str">
        <f t="shared" si="22"/>
        <v>Bachelor</v>
      </c>
      <c r="P384" s="2" t="s">
        <v>735</v>
      </c>
      <c r="Q384" t="str">
        <f t="shared" si="23"/>
        <v>Male</v>
      </c>
    </row>
    <row r="385" spans="1:17" x14ac:dyDescent="0.25">
      <c r="A385" s="1" t="s">
        <v>546</v>
      </c>
      <c r="B385" s="2" t="s">
        <v>462</v>
      </c>
      <c r="C385" s="3">
        <v>1000</v>
      </c>
      <c r="D385" s="3">
        <v>30</v>
      </c>
      <c r="E385" s="18">
        <v>42683</v>
      </c>
      <c r="F385" s="18">
        <v>42653</v>
      </c>
      <c r="H385" s="3">
        <v>59</v>
      </c>
      <c r="I385" s="2" t="s">
        <v>729</v>
      </c>
      <c r="J385" s="1" t="str">
        <f t="shared" si="20"/>
        <v>40 - 80 Days</v>
      </c>
      <c r="K385" s="3">
        <v>26</v>
      </c>
      <c r="L385" s="2" t="s">
        <v>745</v>
      </c>
      <c r="M385" t="str">
        <f t="shared" si="21"/>
        <v>Middle Aged</v>
      </c>
      <c r="N385" s="2" t="s">
        <v>737</v>
      </c>
      <c r="O385" s="1" t="str">
        <f t="shared" si="22"/>
        <v>High School Or Below</v>
      </c>
      <c r="P385" s="2" t="s">
        <v>735</v>
      </c>
      <c r="Q385" t="str">
        <f t="shared" si="23"/>
        <v>Male</v>
      </c>
    </row>
    <row r="386" spans="1:17" x14ac:dyDescent="0.25">
      <c r="A386" s="1" t="s">
        <v>547</v>
      </c>
      <c r="B386" s="2" t="s">
        <v>462</v>
      </c>
      <c r="C386" s="3">
        <v>1000</v>
      </c>
      <c r="D386" s="3">
        <v>30</v>
      </c>
      <c r="E386" s="18">
        <v>42683</v>
      </c>
      <c r="F386" s="18">
        <v>42653</v>
      </c>
      <c r="H386" s="3">
        <v>59</v>
      </c>
      <c r="I386" s="2" t="s">
        <v>729</v>
      </c>
      <c r="J386" s="1" t="str">
        <f t="shared" si="20"/>
        <v>40 - 80 Days</v>
      </c>
      <c r="K386" s="3">
        <v>29</v>
      </c>
      <c r="L386" s="2" t="s">
        <v>745</v>
      </c>
      <c r="M386" t="str">
        <f t="shared" si="21"/>
        <v>Middle Aged</v>
      </c>
      <c r="N386" s="2" t="s">
        <v>737</v>
      </c>
      <c r="O386" s="1" t="str">
        <f t="shared" si="22"/>
        <v>High School Or Below</v>
      </c>
      <c r="P386" s="2" t="s">
        <v>735</v>
      </c>
      <c r="Q386" t="str">
        <f t="shared" si="23"/>
        <v>Male</v>
      </c>
    </row>
    <row r="387" spans="1:17" x14ac:dyDescent="0.25">
      <c r="A387" s="1" t="s">
        <v>548</v>
      </c>
      <c r="B387" s="2" t="s">
        <v>462</v>
      </c>
      <c r="C387" s="3">
        <v>1000</v>
      </c>
      <c r="D387" s="3">
        <v>30</v>
      </c>
      <c r="E387" s="18">
        <v>42683</v>
      </c>
      <c r="F387" s="18">
        <v>42624</v>
      </c>
      <c r="H387" s="3">
        <v>29</v>
      </c>
      <c r="I387" s="2" t="s">
        <v>730</v>
      </c>
      <c r="J387" s="1" t="str">
        <f t="shared" ref="J387:J450" si="24">IF(H387 = " ", "Current", IF(H387 = 0, "Current", IF(H387 &lt;= 39, "1 - 39 Days", IF(H387 &lt;= 80, "40 - 80 Days"))))</f>
        <v>1 - 39 Days</v>
      </c>
      <c r="K387" s="3">
        <v>26</v>
      </c>
      <c r="L387" s="2" t="s">
        <v>745</v>
      </c>
      <c r="M387" t="str">
        <f t="shared" ref="M387:M450" si="25">IF(K387 &lt;= 25, " Young Adults", IF(K387 &lt;= 33, "Middle Aged", IF(K387 &lt;= 49, "Mature", IF(K387 &lt;= 100, "Old"))))</f>
        <v>Middle Aged</v>
      </c>
      <c r="N387" s="2" t="s">
        <v>737</v>
      </c>
      <c r="O387" s="1" t="str">
        <f t="shared" ref="O387:O450" si="26">PROPER(N387)</f>
        <v>High School Or Below</v>
      </c>
      <c r="P387" s="2" t="s">
        <v>735</v>
      </c>
      <c r="Q387" t="str">
        <f t="shared" ref="Q387:Q450" si="27">PROPER(P387)</f>
        <v>Male</v>
      </c>
    </row>
    <row r="388" spans="1:17" x14ac:dyDescent="0.25">
      <c r="A388" s="1" t="s">
        <v>549</v>
      </c>
      <c r="B388" s="2" t="s">
        <v>462</v>
      </c>
      <c r="C388" s="3">
        <v>800</v>
      </c>
      <c r="D388" s="3">
        <v>15</v>
      </c>
      <c r="E388" s="18">
        <v>42683</v>
      </c>
      <c r="F388" s="18" t="s">
        <v>63</v>
      </c>
      <c r="H388" s="3">
        <v>74</v>
      </c>
      <c r="I388" s="2" t="s">
        <v>729</v>
      </c>
      <c r="J388" s="1" t="str">
        <f t="shared" si="24"/>
        <v>40 - 80 Days</v>
      </c>
      <c r="K388" s="3">
        <v>46</v>
      </c>
      <c r="L388" s="2" t="s">
        <v>743</v>
      </c>
      <c r="M388" t="str">
        <f t="shared" si="25"/>
        <v>Mature</v>
      </c>
      <c r="N388" s="2" t="s">
        <v>737</v>
      </c>
      <c r="O388" s="1" t="str">
        <f t="shared" si="26"/>
        <v>High School Or Below</v>
      </c>
      <c r="P388" s="2" t="s">
        <v>735</v>
      </c>
      <c r="Q388" t="str">
        <f t="shared" si="27"/>
        <v>Male</v>
      </c>
    </row>
    <row r="389" spans="1:17" x14ac:dyDescent="0.25">
      <c r="A389" s="1" t="s">
        <v>550</v>
      </c>
      <c r="B389" s="2" t="s">
        <v>462</v>
      </c>
      <c r="C389" s="3">
        <v>1000</v>
      </c>
      <c r="D389" s="3">
        <v>30</v>
      </c>
      <c r="E389" s="18">
        <v>42683</v>
      </c>
      <c r="F389" s="18">
        <v>42653</v>
      </c>
      <c r="H389" s="3">
        <v>59</v>
      </c>
      <c r="I389" s="2" t="s">
        <v>729</v>
      </c>
      <c r="J389" s="1" t="str">
        <f t="shared" si="24"/>
        <v>40 - 80 Days</v>
      </c>
      <c r="K389" s="3">
        <v>36</v>
      </c>
      <c r="L389" s="2" t="s">
        <v>743</v>
      </c>
      <c r="M389" t="str">
        <f t="shared" si="25"/>
        <v>Mature</v>
      </c>
      <c r="N389" s="2" t="s">
        <v>737</v>
      </c>
      <c r="O389" s="1" t="str">
        <f t="shared" si="26"/>
        <v>High School Or Below</v>
      </c>
      <c r="P389" s="2" t="s">
        <v>735</v>
      </c>
      <c r="Q389" t="str">
        <f t="shared" si="27"/>
        <v>Male</v>
      </c>
    </row>
    <row r="390" spans="1:17" x14ac:dyDescent="0.25">
      <c r="A390" s="1" t="s">
        <v>551</v>
      </c>
      <c r="B390" s="2" t="s">
        <v>462</v>
      </c>
      <c r="C390" s="3">
        <v>1000</v>
      </c>
      <c r="D390" s="3">
        <v>15</v>
      </c>
      <c r="E390" s="18">
        <v>42683</v>
      </c>
      <c r="F390" s="18" t="s">
        <v>63</v>
      </c>
      <c r="H390" s="3">
        <v>74</v>
      </c>
      <c r="I390" s="2" t="s">
        <v>729</v>
      </c>
      <c r="J390" s="1" t="str">
        <f t="shared" si="24"/>
        <v>40 - 80 Days</v>
      </c>
      <c r="K390" s="3">
        <v>38</v>
      </c>
      <c r="L390" s="2" t="s">
        <v>743</v>
      </c>
      <c r="M390" t="str">
        <f t="shared" si="25"/>
        <v>Mature</v>
      </c>
      <c r="N390" s="2" t="s">
        <v>738</v>
      </c>
      <c r="O390" s="1" t="str">
        <f t="shared" si="26"/>
        <v>Bachelor</v>
      </c>
      <c r="P390" s="2" t="s">
        <v>735</v>
      </c>
      <c r="Q390" t="str">
        <f t="shared" si="27"/>
        <v>Male</v>
      </c>
    </row>
    <row r="391" spans="1:17" x14ac:dyDescent="0.25">
      <c r="A391" s="1" t="s">
        <v>552</v>
      </c>
      <c r="B391" s="2" t="s">
        <v>462</v>
      </c>
      <c r="C391" s="3">
        <v>1000</v>
      </c>
      <c r="D391" s="3">
        <v>15</v>
      </c>
      <c r="E391" s="18">
        <v>42683</v>
      </c>
      <c r="F391" s="18" t="s">
        <v>194</v>
      </c>
      <c r="H391" s="3">
        <v>44</v>
      </c>
      <c r="I391" s="2" t="s">
        <v>729</v>
      </c>
      <c r="J391" s="1" t="str">
        <f t="shared" si="24"/>
        <v>40 - 80 Days</v>
      </c>
      <c r="K391" s="3">
        <v>32</v>
      </c>
      <c r="L391" s="2" t="s">
        <v>745</v>
      </c>
      <c r="M391" t="str">
        <f t="shared" si="25"/>
        <v>Middle Aged</v>
      </c>
      <c r="N391" s="2" t="s">
        <v>737</v>
      </c>
      <c r="O391" s="1" t="str">
        <f t="shared" si="26"/>
        <v>High School Or Below</v>
      </c>
      <c r="P391" s="2" t="s">
        <v>735</v>
      </c>
      <c r="Q391" t="str">
        <f t="shared" si="27"/>
        <v>Male</v>
      </c>
    </row>
    <row r="392" spans="1:17" x14ac:dyDescent="0.25">
      <c r="A392" s="1" t="s">
        <v>553</v>
      </c>
      <c r="B392" s="2" t="s">
        <v>462</v>
      </c>
      <c r="C392" s="3">
        <v>1000</v>
      </c>
      <c r="D392" s="3">
        <v>15</v>
      </c>
      <c r="E392" s="18">
        <v>42683</v>
      </c>
      <c r="F392" s="18" t="s">
        <v>63</v>
      </c>
      <c r="H392" s="3">
        <v>74</v>
      </c>
      <c r="I392" s="2" t="s">
        <v>729</v>
      </c>
      <c r="J392" s="1" t="str">
        <f t="shared" si="24"/>
        <v>40 - 80 Days</v>
      </c>
      <c r="K392" s="3">
        <v>30</v>
      </c>
      <c r="L392" s="2" t="s">
        <v>745</v>
      </c>
      <c r="M392" t="str">
        <f t="shared" si="25"/>
        <v>Middle Aged</v>
      </c>
      <c r="N392" s="2" t="s">
        <v>739</v>
      </c>
      <c r="O392" s="1" t="str">
        <f t="shared" si="26"/>
        <v>College</v>
      </c>
      <c r="P392" s="2" t="s">
        <v>735</v>
      </c>
      <c r="Q392" t="str">
        <f t="shared" si="27"/>
        <v>Male</v>
      </c>
    </row>
    <row r="393" spans="1:17" x14ac:dyDescent="0.25">
      <c r="A393" s="1" t="s">
        <v>554</v>
      </c>
      <c r="B393" s="2" t="s">
        <v>462</v>
      </c>
      <c r="C393" s="3">
        <v>800</v>
      </c>
      <c r="D393" s="3">
        <v>15</v>
      </c>
      <c r="E393" s="18">
        <v>42683</v>
      </c>
      <c r="F393" s="18" t="s">
        <v>63</v>
      </c>
      <c r="H393" s="3">
        <v>74</v>
      </c>
      <c r="I393" s="2" t="s">
        <v>729</v>
      </c>
      <c r="J393" s="1" t="str">
        <f t="shared" si="24"/>
        <v>40 - 80 Days</v>
      </c>
      <c r="K393" s="3">
        <v>35</v>
      </c>
      <c r="L393" s="2" t="s">
        <v>743</v>
      </c>
      <c r="M393" t="str">
        <f t="shared" si="25"/>
        <v>Mature</v>
      </c>
      <c r="N393" s="2" t="s">
        <v>737</v>
      </c>
      <c r="O393" s="1" t="str">
        <f t="shared" si="26"/>
        <v>High School Or Below</v>
      </c>
      <c r="P393" s="2" t="s">
        <v>735</v>
      </c>
      <c r="Q393" t="str">
        <f t="shared" si="27"/>
        <v>Male</v>
      </c>
    </row>
    <row r="394" spans="1:17" x14ac:dyDescent="0.25">
      <c r="A394" s="1" t="s">
        <v>555</v>
      </c>
      <c r="B394" s="2" t="s">
        <v>462</v>
      </c>
      <c r="C394" s="3">
        <v>1000</v>
      </c>
      <c r="D394" s="3">
        <v>30</v>
      </c>
      <c r="E394" s="18">
        <v>42683</v>
      </c>
      <c r="F394" s="18">
        <v>42653</v>
      </c>
      <c r="H394" s="3">
        <v>59</v>
      </c>
      <c r="I394" s="2" t="s">
        <v>729</v>
      </c>
      <c r="J394" s="1" t="str">
        <f t="shared" si="24"/>
        <v>40 - 80 Days</v>
      </c>
      <c r="K394" s="3">
        <v>29</v>
      </c>
      <c r="L394" s="2" t="s">
        <v>745</v>
      </c>
      <c r="M394" t="str">
        <f t="shared" si="25"/>
        <v>Middle Aged</v>
      </c>
      <c r="N394" s="2" t="s">
        <v>739</v>
      </c>
      <c r="O394" s="1" t="str">
        <f t="shared" si="26"/>
        <v>College</v>
      </c>
      <c r="P394" s="2" t="s">
        <v>736</v>
      </c>
      <c r="Q394" t="str">
        <f t="shared" si="27"/>
        <v>Female</v>
      </c>
    </row>
    <row r="395" spans="1:17" x14ac:dyDescent="0.25">
      <c r="A395" s="1" t="s">
        <v>556</v>
      </c>
      <c r="B395" s="2" t="s">
        <v>462</v>
      </c>
      <c r="C395" s="3">
        <v>1000</v>
      </c>
      <c r="D395" s="3">
        <v>30</v>
      </c>
      <c r="E395" s="18">
        <v>42683</v>
      </c>
      <c r="F395" s="18">
        <v>42624</v>
      </c>
      <c r="H395" s="3">
        <v>29</v>
      </c>
      <c r="I395" s="2" t="s">
        <v>730</v>
      </c>
      <c r="J395" s="1" t="str">
        <f t="shared" si="24"/>
        <v>1 - 39 Days</v>
      </c>
      <c r="K395" s="3">
        <v>26</v>
      </c>
      <c r="L395" s="2" t="s">
        <v>745</v>
      </c>
      <c r="M395" t="str">
        <f t="shared" si="25"/>
        <v>Middle Aged</v>
      </c>
      <c r="N395" s="2" t="s">
        <v>739</v>
      </c>
      <c r="O395" s="1" t="str">
        <f t="shared" si="26"/>
        <v>College</v>
      </c>
      <c r="P395" s="2" t="s">
        <v>735</v>
      </c>
      <c r="Q395" t="str">
        <f t="shared" si="27"/>
        <v>Male</v>
      </c>
    </row>
    <row r="396" spans="1:17" x14ac:dyDescent="0.25">
      <c r="A396" s="1" t="s">
        <v>557</v>
      </c>
      <c r="B396" s="2" t="s">
        <v>462</v>
      </c>
      <c r="C396" s="3">
        <v>800</v>
      </c>
      <c r="D396" s="3">
        <v>15</v>
      </c>
      <c r="E396" s="18">
        <v>42683</v>
      </c>
      <c r="F396" s="18" t="s">
        <v>63</v>
      </c>
      <c r="H396" s="3">
        <v>74</v>
      </c>
      <c r="I396" s="2" t="s">
        <v>729</v>
      </c>
      <c r="J396" s="1" t="str">
        <f t="shared" si="24"/>
        <v>40 - 80 Days</v>
      </c>
      <c r="K396" s="3">
        <v>32</v>
      </c>
      <c r="L396" s="2" t="s">
        <v>745</v>
      </c>
      <c r="M396" t="str">
        <f t="shared" si="25"/>
        <v>Middle Aged</v>
      </c>
      <c r="N396" s="2" t="s">
        <v>737</v>
      </c>
      <c r="O396" s="1" t="str">
        <f t="shared" si="26"/>
        <v>High School Or Below</v>
      </c>
      <c r="P396" s="2" t="s">
        <v>735</v>
      </c>
      <c r="Q396" t="str">
        <f t="shared" si="27"/>
        <v>Male</v>
      </c>
    </row>
    <row r="397" spans="1:17" x14ac:dyDescent="0.25">
      <c r="A397" s="1" t="s">
        <v>558</v>
      </c>
      <c r="B397" s="2" t="s">
        <v>462</v>
      </c>
      <c r="C397" s="3">
        <v>1000</v>
      </c>
      <c r="D397" s="3">
        <v>30</v>
      </c>
      <c r="E397" s="18">
        <v>42683</v>
      </c>
      <c r="F397" s="18">
        <v>42653</v>
      </c>
      <c r="H397" s="3">
        <v>59</v>
      </c>
      <c r="I397" s="2" t="s">
        <v>729</v>
      </c>
      <c r="J397" s="1" t="str">
        <f t="shared" si="24"/>
        <v>40 - 80 Days</v>
      </c>
      <c r="K397" s="3">
        <v>25</v>
      </c>
      <c r="L397" s="2" t="s">
        <v>746</v>
      </c>
      <c r="M397" t="str">
        <f t="shared" si="25"/>
        <v xml:space="preserve"> Young Adults</v>
      </c>
      <c r="N397" s="2" t="s">
        <v>737</v>
      </c>
      <c r="O397" s="1" t="str">
        <f t="shared" si="26"/>
        <v>High School Or Below</v>
      </c>
      <c r="P397" s="2" t="s">
        <v>735</v>
      </c>
      <c r="Q397" t="str">
        <f t="shared" si="27"/>
        <v>Male</v>
      </c>
    </row>
    <row r="398" spans="1:17" x14ac:dyDescent="0.25">
      <c r="A398" s="1" t="s">
        <v>559</v>
      </c>
      <c r="B398" s="2" t="s">
        <v>462</v>
      </c>
      <c r="C398" s="3">
        <v>1000</v>
      </c>
      <c r="D398" s="3">
        <v>30</v>
      </c>
      <c r="E398" s="18">
        <v>42713</v>
      </c>
      <c r="F398" s="18">
        <v>42684</v>
      </c>
      <c r="H398" s="3">
        <v>58</v>
      </c>
      <c r="I398" s="2" t="s">
        <v>729</v>
      </c>
      <c r="J398" s="1" t="str">
        <f t="shared" si="24"/>
        <v>40 - 80 Days</v>
      </c>
      <c r="K398" s="3">
        <v>33</v>
      </c>
      <c r="L398" s="2" t="s">
        <v>745</v>
      </c>
      <c r="M398" t="str">
        <f t="shared" si="25"/>
        <v>Middle Aged</v>
      </c>
      <c r="N398" s="2" t="s">
        <v>737</v>
      </c>
      <c r="O398" s="1" t="str">
        <f t="shared" si="26"/>
        <v>High School Or Below</v>
      </c>
      <c r="P398" s="2" t="s">
        <v>735</v>
      </c>
      <c r="Q398" t="str">
        <f t="shared" si="27"/>
        <v>Male</v>
      </c>
    </row>
    <row r="399" spans="1:17" x14ac:dyDescent="0.25">
      <c r="A399" s="1" t="s">
        <v>560</v>
      </c>
      <c r="B399" s="2" t="s">
        <v>462</v>
      </c>
      <c r="C399" s="3">
        <v>800</v>
      </c>
      <c r="D399" s="3">
        <v>15</v>
      </c>
      <c r="E399" s="18">
        <v>42713</v>
      </c>
      <c r="F399" s="18" t="s">
        <v>237</v>
      </c>
      <c r="H399" s="3">
        <v>73</v>
      </c>
      <c r="I399" s="2" t="s">
        <v>729</v>
      </c>
      <c r="J399" s="1" t="str">
        <f t="shared" si="24"/>
        <v>40 - 80 Days</v>
      </c>
      <c r="K399" s="3">
        <v>39</v>
      </c>
      <c r="L399" s="2" t="s">
        <v>743</v>
      </c>
      <c r="M399" t="str">
        <f t="shared" si="25"/>
        <v>Mature</v>
      </c>
      <c r="N399" s="2" t="s">
        <v>739</v>
      </c>
      <c r="O399" s="1" t="str">
        <f t="shared" si="26"/>
        <v>College</v>
      </c>
      <c r="P399" s="2" t="s">
        <v>735</v>
      </c>
      <c r="Q399" t="str">
        <f t="shared" si="27"/>
        <v>Male</v>
      </c>
    </row>
    <row r="400" spans="1:17" x14ac:dyDescent="0.25">
      <c r="A400" s="1" t="s">
        <v>561</v>
      </c>
      <c r="B400" s="2" t="s">
        <v>462</v>
      </c>
      <c r="C400" s="3">
        <v>1000</v>
      </c>
      <c r="D400" s="3">
        <v>30</v>
      </c>
      <c r="E400" s="18">
        <v>42713</v>
      </c>
      <c r="F400" s="18">
        <v>42654</v>
      </c>
      <c r="H400" s="3">
        <v>28</v>
      </c>
      <c r="I400" s="2" t="s">
        <v>730</v>
      </c>
      <c r="J400" s="1" t="str">
        <f t="shared" si="24"/>
        <v>1 - 39 Days</v>
      </c>
      <c r="K400" s="3">
        <v>28</v>
      </c>
      <c r="L400" s="2" t="s">
        <v>745</v>
      </c>
      <c r="M400" t="str">
        <f t="shared" si="25"/>
        <v>Middle Aged</v>
      </c>
      <c r="N400" s="2" t="s">
        <v>739</v>
      </c>
      <c r="O400" s="1" t="str">
        <f t="shared" si="26"/>
        <v>College</v>
      </c>
      <c r="P400" s="2" t="s">
        <v>735</v>
      </c>
      <c r="Q400" t="str">
        <f t="shared" si="27"/>
        <v>Male</v>
      </c>
    </row>
    <row r="401" spans="1:17" x14ac:dyDescent="0.25">
      <c r="A401" s="1" t="s">
        <v>562</v>
      </c>
      <c r="B401" s="2" t="s">
        <v>462</v>
      </c>
      <c r="C401" s="3">
        <v>1000</v>
      </c>
      <c r="D401" s="3">
        <v>30</v>
      </c>
      <c r="E401" s="18">
        <v>42713</v>
      </c>
      <c r="F401" s="18">
        <v>42684</v>
      </c>
      <c r="H401" s="3">
        <v>58</v>
      </c>
      <c r="I401" s="2" t="s">
        <v>729</v>
      </c>
      <c r="J401" s="1" t="str">
        <f t="shared" si="24"/>
        <v>40 - 80 Days</v>
      </c>
      <c r="K401" s="3">
        <v>26</v>
      </c>
      <c r="L401" s="2" t="s">
        <v>745</v>
      </c>
      <c r="M401" t="str">
        <f t="shared" si="25"/>
        <v>Middle Aged</v>
      </c>
      <c r="N401" s="2" t="s">
        <v>739</v>
      </c>
      <c r="O401" s="1" t="str">
        <f t="shared" si="26"/>
        <v>College</v>
      </c>
      <c r="P401" s="2" t="s">
        <v>735</v>
      </c>
      <c r="Q401" t="str">
        <f t="shared" si="27"/>
        <v>Male</v>
      </c>
    </row>
    <row r="402" spans="1:17" x14ac:dyDescent="0.25">
      <c r="A402" s="1" t="s">
        <v>563</v>
      </c>
      <c r="B402" s="2" t="s">
        <v>564</v>
      </c>
      <c r="C402" s="3">
        <v>1000</v>
      </c>
      <c r="D402" s="3">
        <v>30</v>
      </c>
      <c r="E402" s="18">
        <v>42622</v>
      </c>
      <c r="F402" s="18">
        <v>42592</v>
      </c>
      <c r="G402" s="19">
        <v>42653.489583333336</v>
      </c>
      <c r="H402" s="3">
        <v>2</v>
      </c>
      <c r="I402" s="2" t="s">
        <v>730</v>
      </c>
      <c r="J402" s="1" t="str">
        <f t="shared" si="24"/>
        <v>1 - 39 Days</v>
      </c>
      <c r="K402" s="3">
        <v>26</v>
      </c>
      <c r="L402" s="2" t="s">
        <v>745</v>
      </c>
      <c r="M402" t="str">
        <f t="shared" si="25"/>
        <v>Middle Aged</v>
      </c>
      <c r="N402" s="2" t="s">
        <v>739</v>
      </c>
      <c r="O402" s="1" t="str">
        <f t="shared" si="26"/>
        <v>College</v>
      </c>
      <c r="P402" s="2" t="s">
        <v>735</v>
      </c>
      <c r="Q402" t="str">
        <f t="shared" si="27"/>
        <v>Male</v>
      </c>
    </row>
    <row r="403" spans="1:17" x14ac:dyDescent="0.25">
      <c r="A403" s="1" t="s">
        <v>565</v>
      </c>
      <c r="B403" s="2" t="s">
        <v>564</v>
      </c>
      <c r="C403" s="3">
        <v>1000</v>
      </c>
      <c r="D403" s="3">
        <v>15</v>
      </c>
      <c r="E403" s="18">
        <v>42622</v>
      </c>
      <c r="F403" s="18" t="s">
        <v>463</v>
      </c>
      <c r="G403" s="19" t="s">
        <v>566</v>
      </c>
      <c r="H403" s="3">
        <v>4</v>
      </c>
      <c r="I403" s="2" t="s">
        <v>730</v>
      </c>
      <c r="J403" s="1" t="str">
        <f t="shared" si="24"/>
        <v>1 - 39 Days</v>
      </c>
      <c r="K403" s="3">
        <v>28</v>
      </c>
      <c r="L403" s="2" t="s">
        <v>745</v>
      </c>
      <c r="M403" t="str">
        <f t="shared" si="25"/>
        <v>Middle Aged</v>
      </c>
      <c r="N403" s="2" t="s">
        <v>739</v>
      </c>
      <c r="O403" s="1" t="str">
        <f t="shared" si="26"/>
        <v>College</v>
      </c>
      <c r="P403" s="2" t="s">
        <v>735</v>
      </c>
      <c r="Q403" t="str">
        <f t="shared" si="27"/>
        <v>Male</v>
      </c>
    </row>
    <row r="404" spans="1:17" x14ac:dyDescent="0.25">
      <c r="A404" s="1" t="s">
        <v>567</v>
      </c>
      <c r="B404" s="2" t="s">
        <v>564</v>
      </c>
      <c r="C404" s="3">
        <v>1000</v>
      </c>
      <c r="D404" s="3">
        <v>30</v>
      </c>
      <c r="E404" s="18">
        <v>42622</v>
      </c>
      <c r="F404" s="18">
        <v>42562</v>
      </c>
      <c r="G404" s="19" t="s">
        <v>568</v>
      </c>
      <c r="H404" s="3">
        <v>13</v>
      </c>
      <c r="I404" s="2" t="s">
        <v>730</v>
      </c>
      <c r="J404" s="1" t="str">
        <f t="shared" si="24"/>
        <v>1 - 39 Days</v>
      </c>
      <c r="K404" s="3">
        <v>39</v>
      </c>
      <c r="L404" s="2" t="s">
        <v>743</v>
      </c>
      <c r="M404" t="str">
        <f t="shared" si="25"/>
        <v>Mature</v>
      </c>
      <c r="N404" s="2" t="s">
        <v>739</v>
      </c>
      <c r="O404" s="1" t="str">
        <f t="shared" si="26"/>
        <v>College</v>
      </c>
      <c r="P404" s="2" t="s">
        <v>735</v>
      </c>
      <c r="Q404" t="str">
        <f t="shared" si="27"/>
        <v>Male</v>
      </c>
    </row>
    <row r="405" spans="1:17" x14ac:dyDescent="0.25">
      <c r="A405" s="1" t="s">
        <v>569</v>
      </c>
      <c r="B405" s="2" t="s">
        <v>564</v>
      </c>
      <c r="C405" s="3">
        <v>1000</v>
      </c>
      <c r="D405" s="3">
        <v>15</v>
      </c>
      <c r="E405" s="18">
        <v>42622</v>
      </c>
      <c r="F405" s="18" t="s">
        <v>463</v>
      </c>
      <c r="G405" s="19" t="s">
        <v>570</v>
      </c>
      <c r="H405" s="3">
        <v>5</v>
      </c>
      <c r="I405" s="2" t="s">
        <v>730</v>
      </c>
      <c r="J405" s="1" t="str">
        <f t="shared" si="24"/>
        <v>1 - 39 Days</v>
      </c>
      <c r="K405" s="3">
        <v>29</v>
      </c>
      <c r="L405" s="2" t="s">
        <v>745</v>
      </c>
      <c r="M405" t="str">
        <f t="shared" si="25"/>
        <v>Middle Aged</v>
      </c>
      <c r="N405" s="2" t="s">
        <v>738</v>
      </c>
      <c r="O405" s="1" t="str">
        <f t="shared" si="26"/>
        <v>Bachelor</v>
      </c>
      <c r="P405" s="2" t="s">
        <v>735</v>
      </c>
      <c r="Q405" t="str">
        <f t="shared" si="27"/>
        <v>Male</v>
      </c>
    </row>
    <row r="406" spans="1:17" x14ac:dyDescent="0.25">
      <c r="A406" s="1" t="s">
        <v>571</v>
      </c>
      <c r="B406" s="2" t="s">
        <v>564</v>
      </c>
      <c r="C406" s="3">
        <v>800</v>
      </c>
      <c r="D406" s="3">
        <v>15</v>
      </c>
      <c r="E406" s="18">
        <v>42622</v>
      </c>
      <c r="F406" s="18" t="s">
        <v>463</v>
      </c>
      <c r="G406" s="19" t="s">
        <v>572</v>
      </c>
      <c r="H406" s="3">
        <v>3</v>
      </c>
      <c r="I406" s="2" t="s">
        <v>730</v>
      </c>
      <c r="J406" s="1" t="str">
        <f t="shared" si="24"/>
        <v>1 - 39 Days</v>
      </c>
      <c r="K406" s="3">
        <v>33</v>
      </c>
      <c r="L406" s="2" t="s">
        <v>745</v>
      </c>
      <c r="M406" t="str">
        <f t="shared" si="25"/>
        <v>Middle Aged</v>
      </c>
      <c r="N406" s="2" t="s">
        <v>737</v>
      </c>
      <c r="O406" s="1" t="str">
        <f t="shared" si="26"/>
        <v>High School Or Below</v>
      </c>
      <c r="P406" s="2" t="s">
        <v>735</v>
      </c>
      <c r="Q406" t="str">
        <f t="shared" si="27"/>
        <v>Male</v>
      </c>
    </row>
    <row r="407" spans="1:17" x14ac:dyDescent="0.25">
      <c r="A407" s="1" t="s">
        <v>573</v>
      </c>
      <c r="B407" s="2" t="s">
        <v>564</v>
      </c>
      <c r="C407" s="3">
        <v>1000</v>
      </c>
      <c r="D407" s="3">
        <v>30</v>
      </c>
      <c r="E407" s="18">
        <v>42652</v>
      </c>
      <c r="F407" s="18">
        <v>42623</v>
      </c>
      <c r="G407" s="19" t="s">
        <v>574</v>
      </c>
      <c r="H407" s="3">
        <v>12</v>
      </c>
      <c r="I407" s="2" t="s">
        <v>730</v>
      </c>
      <c r="J407" s="1" t="str">
        <f t="shared" si="24"/>
        <v>1 - 39 Days</v>
      </c>
      <c r="K407" s="3">
        <v>27</v>
      </c>
      <c r="L407" s="2" t="s">
        <v>745</v>
      </c>
      <c r="M407" t="str">
        <f t="shared" si="25"/>
        <v>Middle Aged</v>
      </c>
      <c r="N407" s="2" t="s">
        <v>739</v>
      </c>
      <c r="O407" s="1" t="str">
        <f t="shared" si="26"/>
        <v>College</v>
      </c>
      <c r="P407" s="2" t="s">
        <v>735</v>
      </c>
      <c r="Q407" t="str">
        <f t="shared" si="27"/>
        <v>Male</v>
      </c>
    </row>
    <row r="408" spans="1:17" x14ac:dyDescent="0.25">
      <c r="A408" s="1" t="s">
        <v>575</v>
      </c>
      <c r="B408" s="2" t="s">
        <v>564</v>
      </c>
      <c r="C408" s="3">
        <v>800</v>
      </c>
      <c r="D408" s="3">
        <v>15</v>
      </c>
      <c r="E408" s="18">
        <v>42652</v>
      </c>
      <c r="F408" s="18" t="s">
        <v>39</v>
      </c>
      <c r="G408" s="19" t="s">
        <v>576</v>
      </c>
      <c r="H408" s="3">
        <v>2</v>
      </c>
      <c r="I408" s="2" t="s">
        <v>730</v>
      </c>
      <c r="J408" s="1" t="str">
        <f t="shared" si="24"/>
        <v>1 - 39 Days</v>
      </c>
      <c r="K408" s="3">
        <v>34</v>
      </c>
      <c r="L408" s="2" t="s">
        <v>743</v>
      </c>
      <c r="M408" t="str">
        <f t="shared" si="25"/>
        <v>Mature</v>
      </c>
      <c r="N408" s="2" t="s">
        <v>739</v>
      </c>
      <c r="O408" s="1" t="str">
        <f t="shared" si="26"/>
        <v>College</v>
      </c>
      <c r="P408" s="2" t="s">
        <v>735</v>
      </c>
      <c r="Q408" t="str">
        <f t="shared" si="27"/>
        <v>Male</v>
      </c>
    </row>
    <row r="409" spans="1:17" x14ac:dyDescent="0.25">
      <c r="A409" s="1" t="s">
        <v>577</v>
      </c>
      <c r="B409" s="2" t="s">
        <v>564</v>
      </c>
      <c r="C409" s="3">
        <v>1000</v>
      </c>
      <c r="D409" s="3">
        <v>30</v>
      </c>
      <c r="E409" s="18">
        <v>42652</v>
      </c>
      <c r="F409" s="18">
        <v>42623</v>
      </c>
      <c r="G409" s="19">
        <v>42501.652083333334</v>
      </c>
      <c r="H409" s="3">
        <v>27</v>
      </c>
      <c r="I409" s="2" t="s">
        <v>730</v>
      </c>
      <c r="J409" s="1" t="str">
        <f t="shared" si="24"/>
        <v>1 - 39 Days</v>
      </c>
      <c r="K409" s="3">
        <v>26</v>
      </c>
      <c r="L409" s="2" t="s">
        <v>745</v>
      </c>
      <c r="M409" t="str">
        <f t="shared" si="25"/>
        <v>Middle Aged</v>
      </c>
      <c r="N409" s="2" t="s">
        <v>737</v>
      </c>
      <c r="O409" s="1" t="str">
        <f t="shared" si="26"/>
        <v>High School Or Below</v>
      </c>
      <c r="P409" s="2" t="s">
        <v>735</v>
      </c>
      <c r="Q409" t="str">
        <f t="shared" si="27"/>
        <v>Male</v>
      </c>
    </row>
    <row r="410" spans="1:17" x14ac:dyDescent="0.25">
      <c r="A410" s="1" t="s">
        <v>578</v>
      </c>
      <c r="B410" s="2" t="s">
        <v>564</v>
      </c>
      <c r="C410" s="3">
        <v>1000</v>
      </c>
      <c r="D410" s="3">
        <v>30</v>
      </c>
      <c r="E410" s="18">
        <v>42652</v>
      </c>
      <c r="F410" s="18">
        <v>42623</v>
      </c>
      <c r="G410" s="19" t="s">
        <v>579</v>
      </c>
      <c r="H410" s="3">
        <v>44</v>
      </c>
      <c r="I410" s="2" t="s">
        <v>729</v>
      </c>
      <c r="J410" s="1" t="str">
        <f t="shared" si="24"/>
        <v>40 - 80 Days</v>
      </c>
      <c r="K410" s="3">
        <v>28</v>
      </c>
      <c r="L410" s="2" t="s">
        <v>745</v>
      </c>
      <c r="M410" t="str">
        <f t="shared" si="25"/>
        <v>Middle Aged</v>
      </c>
      <c r="N410" s="2" t="s">
        <v>737</v>
      </c>
      <c r="O410" s="1" t="str">
        <f t="shared" si="26"/>
        <v>High School Or Below</v>
      </c>
      <c r="P410" s="2" t="s">
        <v>735</v>
      </c>
      <c r="Q410" t="str">
        <f t="shared" si="27"/>
        <v>Male</v>
      </c>
    </row>
    <row r="411" spans="1:17" x14ac:dyDescent="0.25">
      <c r="A411" s="1" t="s">
        <v>580</v>
      </c>
      <c r="B411" s="2" t="s">
        <v>564</v>
      </c>
      <c r="C411" s="3">
        <v>1000</v>
      </c>
      <c r="D411" s="3">
        <v>15</v>
      </c>
      <c r="E411" s="18">
        <v>42652</v>
      </c>
      <c r="F411" s="18" t="s">
        <v>39</v>
      </c>
      <c r="G411" s="19" t="s">
        <v>581</v>
      </c>
      <c r="H411" s="3">
        <v>5</v>
      </c>
      <c r="I411" s="2" t="s">
        <v>730</v>
      </c>
      <c r="J411" s="1" t="str">
        <f t="shared" si="24"/>
        <v>1 - 39 Days</v>
      </c>
      <c r="K411" s="3">
        <v>32</v>
      </c>
      <c r="L411" s="2" t="s">
        <v>745</v>
      </c>
      <c r="M411" t="str">
        <f t="shared" si="25"/>
        <v>Middle Aged</v>
      </c>
      <c r="N411" s="2" t="s">
        <v>738</v>
      </c>
      <c r="O411" s="1" t="str">
        <f t="shared" si="26"/>
        <v>Bachelor</v>
      </c>
      <c r="P411" s="2" t="s">
        <v>735</v>
      </c>
      <c r="Q411" t="str">
        <f t="shared" si="27"/>
        <v>Male</v>
      </c>
    </row>
    <row r="412" spans="1:17" x14ac:dyDescent="0.25">
      <c r="A412" s="1" t="s">
        <v>582</v>
      </c>
      <c r="B412" s="2" t="s">
        <v>564</v>
      </c>
      <c r="C412" s="3">
        <v>800</v>
      </c>
      <c r="D412" s="3">
        <v>15</v>
      </c>
      <c r="E412" s="18">
        <v>42652</v>
      </c>
      <c r="F412" s="18">
        <v>42623</v>
      </c>
      <c r="G412" s="19">
        <v>42653.637499999997</v>
      </c>
      <c r="H412" s="3">
        <v>1</v>
      </c>
      <c r="I412" s="2" t="s">
        <v>730</v>
      </c>
      <c r="J412" s="1" t="str">
        <f t="shared" si="24"/>
        <v>1 - 39 Days</v>
      </c>
      <c r="K412" s="3">
        <v>27</v>
      </c>
      <c r="L412" s="2" t="s">
        <v>745</v>
      </c>
      <c r="M412" t="str">
        <f t="shared" si="25"/>
        <v>Middle Aged</v>
      </c>
      <c r="N412" s="2" t="s">
        <v>739</v>
      </c>
      <c r="O412" s="1" t="str">
        <f t="shared" si="26"/>
        <v>College</v>
      </c>
      <c r="P412" s="2" t="s">
        <v>736</v>
      </c>
      <c r="Q412" t="str">
        <f t="shared" si="27"/>
        <v>Female</v>
      </c>
    </row>
    <row r="413" spans="1:17" x14ac:dyDescent="0.25">
      <c r="A413" s="1" t="s">
        <v>583</v>
      </c>
      <c r="B413" s="2" t="s">
        <v>564</v>
      </c>
      <c r="C413" s="3">
        <v>1000</v>
      </c>
      <c r="D413" s="3">
        <v>30</v>
      </c>
      <c r="E413" s="18">
        <v>42652</v>
      </c>
      <c r="F413" s="18">
        <v>42623</v>
      </c>
      <c r="G413" s="19">
        <v>42501.450694444444</v>
      </c>
      <c r="H413" s="3">
        <v>27</v>
      </c>
      <c r="I413" s="2" t="s">
        <v>730</v>
      </c>
      <c r="J413" s="1" t="str">
        <f t="shared" si="24"/>
        <v>1 - 39 Days</v>
      </c>
      <c r="K413" s="3">
        <v>21</v>
      </c>
      <c r="L413" s="2" t="s">
        <v>746</v>
      </c>
      <c r="M413" t="str">
        <f t="shared" si="25"/>
        <v xml:space="preserve"> Young Adults</v>
      </c>
      <c r="N413" s="2" t="s">
        <v>739</v>
      </c>
      <c r="O413" s="1" t="str">
        <f t="shared" si="26"/>
        <v>College</v>
      </c>
      <c r="P413" s="2" t="s">
        <v>735</v>
      </c>
      <c r="Q413" t="str">
        <f t="shared" si="27"/>
        <v>Male</v>
      </c>
    </row>
    <row r="414" spans="1:17" x14ac:dyDescent="0.25">
      <c r="A414" s="1" t="s">
        <v>584</v>
      </c>
      <c r="B414" s="2" t="s">
        <v>564</v>
      </c>
      <c r="C414" s="3">
        <v>800</v>
      </c>
      <c r="D414" s="3">
        <v>15</v>
      </c>
      <c r="E414" s="18">
        <v>42683</v>
      </c>
      <c r="F414" s="18" t="s">
        <v>63</v>
      </c>
      <c r="G414" s="19" t="s">
        <v>585</v>
      </c>
      <c r="H414" s="3">
        <v>2</v>
      </c>
      <c r="I414" s="2" t="s">
        <v>730</v>
      </c>
      <c r="J414" s="1" t="str">
        <f t="shared" si="24"/>
        <v>1 - 39 Days</v>
      </c>
      <c r="K414" s="3">
        <v>39</v>
      </c>
      <c r="L414" s="2" t="s">
        <v>743</v>
      </c>
      <c r="M414" t="str">
        <f t="shared" si="25"/>
        <v>Mature</v>
      </c>
      <c r="N414" s="2" t="s">
        <v>739</v>
      </c>
      <c r="O414" s="1" t="str">
        <f t="shared" si="26"/>
        <v>College</v>
      </c>
      <c r="P414" s="2" t="s">
        <v>735</v>
      </c>
      <c r="Q414" t="str">
        <f t="shared" si="27"/>
        <v>Male</v>
      </c>
    </row>
    <row r="415" spans="1:17" x14ac:dyDescent="0.25">
      <c r="A415" s="1" t="s">
        <v>586</v>
      </c>
      <c r="B415" s="2" t="s">
        <v>564</v>
      </c>
      <c r="C415" s="3">
        <v>1000</v>
      </c>
      <c r="D415" s="3">
        <v>15</v>
      </c>
      <c r="E415" s="18">
        <v>42683</v>
      </c>
      <c r="F415" s="18" t="s">
        <v>63</v>
      </c>
      <c r="G415" s="19" t="s">
        <v>587</v>
      </c>
      <c r="H415" s="3">
        <v>1</v>
      </c>
      <c r="I415" s="2" t="s">
        <v>730</v>
      </c>
      <c r="J415" s="1" t="str">
        <f t="shared" si="24"/>
        <v>1 - 39 Days</v>
      </c>
      <c r="K415" s="3">
        <v>38</v>
      </c>
      <c r="L415" s="2" t="s">
        <v>743</v>
      </c>
      <c r="M415" t="str">
        <f t="shared" si="25"/>
        <v>Mature</v>
      </c>
      <c r="N415" s="2" t="s">
        <v>739</v>
      </c>
      <c r="O415" s="1" t="str">
        <f t="shared" si="26"/>
        <v>College</v>
      </c>
      <c r="P415" s="2" t="s">
        <v>735</v>
      </c>
      <c r="Q415" t="str">
        <f t="shared" si="27"/>
        <v>Male</v>
      </c>
    </row>
    <row r="416" spans="1:17" x14ac:dyDescent="0.25">
      <c r="A416" s="1" t="s">
        <v>588</v>
      </c>
      <c r="B416" s="2" t="s">
        <v>564</v>
      </c>
      <c r="C416" s="3">
        <v>1000</v>
      </c>
      <c r="D416" s="3">
        <v>30</v>
      </c>
      <c r="E416" s="18">
        <v>42683</v>
      </c>
      <c r="F416" s="18">
        <v>42653</v>
      </c>
      <c r="G416" s="19">
        <v>42714.415972222225</v>
      </c>
      <c r="H416" s="3">
        <v>2</v>
      </c>
      <c r="I416" s="2" t="s">
        <v>730</v>
      </c>
      <c r="J416" s="1" t="str">
        <f t="shared" si="24"/>
        <v>1 - 39 Days</v>
      </c>
      <c r="K416" s="3">
        <v>36</v>
      </c>
      <c r="L416" s="2" t="s">
        <v>743</v>
      </c>
      <c r="M416" t="str">
        <f t="shared" si="25"/>
        <v>Mature</v>
      </c>
      <c r="N416" s="2" t="s">
        <v>737</v>
      </c>
      <c r="O416" s="1" t="str">
        <f t="shared" si="26"/>
        <v>High School Or Below</v>
      </c>
      <c r="P416" s="2" t="s">
        <v>736</v>
      </c>
      <c r="Q416" t="str">
        <f t="shared" si="27"/>
        <v>Female</v>
      </c>
    </row>
    <row r="417" spans="1:17" x14ac:dyDescent="0.25">
      <c r="A417" s="1" t="s">
        <v>589</v>
      </c>
      <c r="B417" s="2" t="s">
        <v>564</v>
      </c>
      <c r="C417" s="3">
        <v>800</v>
      </c>
      <c r="D417" s="3">
        <v>15</v>
      </c>
      <c r="E417" s="18">
        <v>42683</v>
      </c>
      <c r="F417" s="18" t="s">
        <v>63</v>
      </c>
      <c r="G417" s="19" t="s">
        <v>590</v>
      </c>
      <c r="H417" s="3">
        <v>2</v>
      </c>
      <c r="I417" s="2" t="s">
        <v>730</v>
      </c>
      <c r="J417" s="1" t="str">
        <f t="shared" si="24"/>
        <v>1 - 39 Days</v>
      </c>
      <c r="K417" s="3">
        <v>33</v>
      </c>
      <c r="L417" s="2" t="s">
        <v>745</v>
      </c>
      <c r="M417" t="str">
        <f t="shared" si="25"/>
        <v>Middle Aged</v>
      </c>
      <c r="N417" s="2" t="s">
        <v>739</v>
      </c>
      <c r="O417" s="1" t="str">
        <f t="shared" si="26"/>
        <v>College</v>
      </c>
      <c r="P417" s="2" t="s">
        <v>735</v>
      </c>
      <c r="Q417" t="str">
        <f t="shared" si="27"/>
        <v>Male</v>
      </c>
    </row>
    <row r="418" spans="1:17" x14ac:dyDescent="0.25">
      <c r="A418" s="1" t="s">
        <v>591</v>
      </c>
      <c r="B418" s="2" t="s">
        <v>564</v>
      </c>
      <c r="C418" s="3">
        <v>1000</v>
      </c>
      <c r="D418" s="3">
        <v>30</v>
      </c>
      <c r="E418" s="18">
        <v>42683</v>
      </c>
      <c r="F418" s="18">
        <v>42653</v>
      </c>
      <c r="G418" s="19">
        <v>42684.53125</v>
      </c>
      <c r="H418" s="3">
        <v>1</v>
      </c>
      <c r="I418" s="2" t="s">
        <v>730</v>
      </c>
      <c r="J418" s="1" t="str">
        <f t="shared" si="24"/>
        <v>1 - 39 Days</v>
      </c>
      <c r="K418" s="3">
        <v>21</v>
      </c>
      <c r="L418" s="2" t="s">
        <v>746</v>
      </c>
      <c r="M418" t="str">
        <f t="shared" si="25"/>
        <v xml:space="preserve"> Young Adults</v>
      </c>
      <c r="N418" s="2" t="s">
        <v>739</v>
      </c>
      <c r="O418" s="1" t="str">
        <f t="shared" si="26"/>
        <v>College</v>
      </c>
      <c r="P418" s="2" t="s">
        <v>736</v>
      </c>
      <c r="Q418" t="str">
        <f t="shared" si="27"/>
        <v>Female</v>
      </c>
    </row>
    <row r="419" spans="1:17" x14ac:dyDescent="0.25">
      <c r="A419" s="1" t="s">
        <v>592</v>
      </c>
      <c r="B419" s="2" t="s">
        <v>564</v>
      </c>
      <c r="C419" s="3">
        <v>800</v>
      </c>
      <c r="D419" s="3">
        <v>15</v>
      </c>
      <c r="E419" s="18">
        <v>42683</v>
      </c>
      <c r="F419" s="18" t="s">
        <v>63</v>
      </c>
      <c r="G419" s="19" t="s">
        <v>593</v>
      </c>
      <c r="H419" s="3">
        <v>3</v>
      </c>
      <c r="I419" s="2" t="s">
        <v>730</v>
      </c>
      <c r="J419" s="1" t="str">
        <f t="shared" si="24"/>
        <v>1 - 39 Days</v>
      </c>
      <c r="K419" s="3">
        <v>25</v>
      </c>
      <c r="L419" s="2" t="s">
        <v>746</v>
      </c>
      <c r="M419" t="str">
        <f t="shared" si="25"/>
        <v xml:space="preserve"> Young Adults</v>
      </c>
      <c r="N419" s="2" t="s">
        <v>737</v>
      </c>
      <c r="O419" s="1" t="str">
        <f t="shared" si="26"/>
        <v>High School Or Below</v>
      </c>
      <c r="P419" s="2" t="s">
        <v>735</v>
      </c>
      <c r="Q419" t="str">
        <f t="shared" si="27"/>
        <v>Male</v>
      </c>
    </row>
    <row r="420" spans="1:17" x14ac:dyDescent="0.25">
      <c r="A420" s="1" t="s">
        <v>594</v>
      </c>
      <c r="B420" s="2" t="s">
        <v>564</v>
      </c>
      <c r="C420" s="3">
        <v>800</v>
      </c>
      <c r="D420" s="3">
        <v>15</v>
      </c>
      <c r="E420" s="18">
        <v>42683</v>
      </c>
      <c r="F420" s="18" t="s">
        <v>63</v>
      </c>
      <c r="G420" s="19">
        <v>42561.556250000001</v>
      </c>
      <c r="H420" s="3">
        <v>12</v>
      </c>
      <c r="I420" s="2" t="s">
        <v>730</v>
      </c>
      <c r="J420" s="1" t="str">
        <f t="shared" si="24"/>
        <v>1 - 39 Days</v>
      </c>
      <c r="K420" s="3">
        <v>29</v>
      </c>
      <c r="L420" s="2" t="s">
        <v>745</v>
      </c>
      <c r="M420" t="str">
        <f t="shared" si="25"/>
        <v>Middle Aged</v>
      </c>
      <c r="N420" s="2" t="s">
        <v>739</v>
      </c>
      <c r="O420" s="1" t="str">
        <f t="shared" si="26"/>
        <v>College</v>
      </c>
      <c r="P420" s="2" t="s">
        <v>735</v>
      </c>
      <c r="Q420" t="str">
        <f t="shared" si="27"/>
        <v>Male</v>
      </c>
    </row>
    <row r="421" spans="1:17" x14ac:dyDescent="0.25">
      <c r="A421" s="1" t="s">
        <v>595</v>
      </c>
      <c r="B421" s="2" t="s">
        <v>564</v>
      </c>
      <c r="C421" s="3">
        <v>1000</v>
      </c>
      <c r="D421" s="3">
        <v>30</v>
      </c>
      <c r="E421" s="18">
        <v>42683</v>
      </c>
      <c r="F421" s="18">
        <v>42653</v>
      </c>
      <c r="G421" s="19">
        <v>42471.650694444441</v>
      </c>
      <c r="H421" s="3">
        <v>25</v>
      </c>
      <c r="I421" s="2" t="s">
        <v>730</v>
      </c>
      <c r="J421" s="1" t="str">
        <f t="shared" si="24"/>
        <v>1 - 39 Days</v>
      </c>
      <c r="K421" s="3">
        <v>33</v>
      </c>
      <c r="L421" s="2" t="s">
        <v>745</v>
      </c>
      <c r="M421" t="str">
        <f t="shared" si="25"/>
        <v>Middle Aged</v>
      </c>
      <c r="N421" s="2" t="s">
        <v>737</v>
      </c>
      <c r="O421" s="1" t="str">
        <f t="shared" si="26"/>
        <v>High School Or Below</v>
      </c>
      <c r="P421" s="2" t="s">
        <v>735</v>
      </c>
      <c r="Q421" t="str">
        <f t="shared" si="27"/>
        <v>Male</v>
      </c>
    </row>
    <row r="422" spans="1:17" x14ac:dyDescent="0.25">
      <c r="A422" s="1" t="s">
        <v>596</v>
      </c>
      <c r="B422" s="2" t="s">
        <v>564</v>
      </c>
      <c r="C422" s="3">
        <v>1000</v>
      </c>
      <c r="D422" s="3">
        <v>15</v>
      </c>
      <c r="E422" s="18">
        <v>42683</v>
      </c>
      <c r="F422" s="18" t="s">
        <v>63</v>
      </c>
      <c r="G422" s="19" t="s">
        <v>597</v>
      </c>
      <c r="H422" s="3">
        <v>3</v>
      </c>
      <c r="I422" s="2" t="s">
        <v>730</v>
      </c>
      <c r="J422" s="1" t="str">
        <f t="shared" si="24"/>
        <v>1 - 39 Days</v>
      </c>
      <c r="K422" s="3">
        <v>47</v>
      </c>
      <c r="L422" s="2" t="s">
        <v>743</v>
      </c>
      <c r="M422" t="str">
        <f t="shared" si="25"/>
        <v>Mature</v>
      </c>
      <c r="N422" s="2" t="s">
        <v>737</v>
      </c>
      <c r="O422" s="1" t="str">
        <f t="shared" si="26"/>
        <v>High School Or Below</v>
      </c>
      <c r="P422" s="2" t="s">
        <v>736</v>
      </c>
      <c r="Q422" t="str">
        <f t="shared" si="27"/>
        <v>Female</v>
      </c>
    </row>
    <row r="423" spans="1:17" x14ac:dyDescent="0.25">
      <c r="A423" s="1" t="s">
        <v>598</v>
      </c>
      <c r="B423" s="2" t="s">
        <v>564</v>
      </c>
      <c r="C423" s="3">
        <v>1000</v>
      </c>
      <c r="D423" s="3">
        <v>30</v>
      </c>
      <c r="E423" s="18">
        <v>42683</v>
      </c>
      <c r="F423" s="18">
        <v>42653</v>
      </c>
      <c r="G423" s="19">
        <v>42714.411111111112</v>
      </c>
      <c r="H423" s="3">
        <v>2</v>
      </c>
      <c r="I423" s="2" t="s">
        <v>730</v>
      </c>
      <c r="J423" s="1" t="str">
        <f t="shared" si="24"/>
        <v>1 - 39 Days</v>
      </c>
      <c r="K423" s="3">
        <v>33</v>
      </c>
      <c r="L423" s="2" t="s">
        <v>745</v>
      </c>
      <c r="M423" t="str">
        <f t="shared" si="25"/>
        <v>Middle Aged</v>
      </c>
      <c r="N423" s="2" t="s">
        <v>739</v>
      </c>
      <c r="O423" s="1" t="str">
        <f t="shared" si="26"/>
        <v>College</v>
      </c>
      <c r="P423" s="2" t="s">
        <v>735</v>
      </c>
      <c r="Q423" t="str">
        <f t="shared" si="27"/>
        <v>Male</v>
      </c>
    </row>
    <row r="424" spans="1:17" x14ac:dyDescent="0.25">
      <c r="A424" s="1" t="s">
        <v>599</v>
      </c>
      <c r="B424" s="2" t="s">
        <v>564</v>
      </c>
      <c r="C424" s="3">
        <v>800</v>
      </c>
      <c r="D424" s="3">
        <v>15</v>
      </c>
      <c r="E424" s="18">
        <v>42683</v>
      </c>
      <c r="F424" s="18" t="s">
        <v>63</v>
      </c>
      <c r="G424" s="19" t="s">
        <v>600</v>
      </c>
      <c r="H424" s="3">
        <v>4</v>
      </c>
      <c r="I424" s="2" t="s">
        <v>730</v>
      </c>
      <c r="J424" s="1" t="str">
        <f t="shared" si="24"/>
        <v>1 - 39 Days</v>
      </c>
      <c r="K424" s="3">
        <v>23</v>
      </c>
      <c r="L424" s="2" t="s">
        <v>746</v>
      </c>
      <c r="M424" t="str">
        <f t="shared" si="25"/>
        <v xml:space="preserve"> Young Adults</v>
      </c>
      <c r="N424" s="2" t="s">
        <v>737</v>
      </c>
      <c r="O424" s="1" t="str">
        <f t="shared" si="26"/>
        <v>High School Or Below</v>
      </c>
      <c r="P424" s="2" t="s">
        <v>735</v>
      </c>
      <c r="Q424" t="str">
        <f t="shared" si="27"/>
        <v>Male</v>
      </c>
    </row>
    <row r="425" spans="1:17" x14ac:dyDescent="0.25">
      <c r="A425" s="1" t="s">
        <v>601</v>
      </c>
      <c r="B425" s="2" t="s">
        <v>564</v>
      </c>
      <c r="C425" s="3">
        <v>1000</v>
      </c>
      <c r="D425" s="3">
        <v>15</v>
      </c>
      <c r="E425" s="18">
        <v>42683</v>
      </c>
      <c r="F425" s="18">
        <v>42653</v>
      </c>
      <c r="G425" s="19">
        <v>42714.470138888886</v>
      </c>
      <c r="H425" s="3">
        <v>2</v>
      </c>
      <c r="I425" s="2" t="s">
        <v>730</v>
      </c>
      <c r="J425" s="1" t="str">
        <f t="shared" si="24"/>
        <v>1 - 39 Days</v>
      </c>
      <c r="K425" s="3">
        <v>24</v>
      </c>
      <c r="L425" s="2" t="s">
        <v>746</v>
      </c>
      <c r="M425" t="str">
        <f t="shared" si="25"/>
        <v xml:space="preserve"> Young Adults</v>
      </c>
      <c r="N425" s="2" t="s">
        <v>739</v>
      </c>
      <c r="O425" s="1" t="str">
        <f t="shared" si="26"/>
        <v>College</v>
      </c>
      <c r="P425" s="2" t="s">
        <v>735</v>
      </c>
      <c r="Q425" t="str">
        <f t="shared" si="27"/>
        <v>Male</v>
      </c>
    </row>
    <row r="426" spans="1:17" x14ac:dyDescent="0.25">
      <c r="A426" s="1" t="s">
        <v>602</v>
      </c>
      <c r="B426" s="2" t="s">
        <v>564</v>
      </c>
      <c r="C426" s="3">
        <v>1000</v>
      </c>
      <c r="D426" s="3">
        <v>30</v>
      </c>
      <c r="E426" s="18">
        <v>42683</v>
      </c>
      <c r="F426" s="18">
        <v>42624</v>
      </c>
      <c r="G426" s="19">
        <v>42654.956944444442</v>
      </c>
      <c r="H426" s="3">
        <v>1</v>
      </c>
      <c r="I426" s="2" t="s">
        <v>730</v>
      </c>
      <c r="J426" s="1" t="str">
        <f t="shared" si="24"/>
        <v>1 - 39 Days</v>
      </c>
      <c r="K426" s="3">
        <v>27</v>
      </c>
      <c r="L426" s="2" t="s">
        <v>745</v>
      </c>
      <c r="M426" t="str">
        <f t="shared" si="25"/>
        <v>Middle Aged</v>
      </c>
      <c r="N426" s="2" t="s">
        <v>737</v>
      </c>
      <c r="O426" s="1" t="str">
        <f t="shared" si="26"/>
        <v>High School Or Below</v>
      </c>
      <c r="P426" s="2" t="s">
        <v>735</v>
      </c>
      <c r="Q426" t="str">
        <f t="shared" si="27"/>
        <v>Male</v>
      </c>
    </row>
    <row r="427" spans="1:17" x14ac:dyDescent="0.25">
      <c r="A427" s="1" t="s">
        <v>603</v>
      </c>
      <c r="B427" s="2" t="s">
        <v>564</v>
      </c>
      <c r="C427" s="3">
        <v>1000</v>
      </c>
      <c r="D427" s="3">
        <v>30</v>
      </c>
      <c r="E427" s="18">
        <v>42683</v>
      </c>
      <c r="F427" s="18">
        <v>42653</v>
      </c>
      <c r="G427" s="19">
        <v>42440.640972222223</v>
      </c>
      <c r="H427" s="3">
        <v>24</v>
      </c>
      <c r="I427" s="2" t="s">
        <v>730</v>
      </c>
      <c r="J427" s="1" t="str">
        <f t="shared" si="24"/>
        <v>1 - 39 Days</v>
      </c>
      <c r="K427" s="3">
        <v>32</v>
      </c>
      <c r="L427" s="2" t="s">
        <v>745</v>
      </c>
      <c r="M427" t="str">
        <f t="shared" si="25"/>
        <v>Middle Aged</v>
      </c>
      <c r="N427" s="2" t="s">
        <v>738</v>
      </c>
      <c r="O427" s="1" t="str">
        <f t="shared" si="26"/>
        <v>Bachelor</v>
      </c>
      <c r="P427" s="2" t="s">
        <v>735</v>
      </c>
      <c r="Q427" t="str">
        <f t="shared" si="27"/>
        <v>Male</v>
      </c>
    </row>
    <row r="428" spans="1:17" x14ac:dyDescent="0.25">
      <c r="A428" s="1" t="s">
        <v>604</v>
      </c>
      <c r="B428" s="2" t="s">
        <v>564</v>
      </c>
      <c r="C428" s="3">
        <v>1000</v>
      </c>
      <c r="D428" s="3">
        <v>30</v>
      </c>
      <c r="E428" s="18">
        <v>42683</v>
      </c>
      <c r="F428" s="18">
        <v>42653</v>
      </c>
      <c r="G428" s="19">
        <v>42684.697222222225</v>
      </c>
      <c r="H428" s="3">
        <v>1</v>
      </c>
      <c r="I428" s="2" t="s">
        <v>730</v>
      </c>
      <c r="J428" s="1" t="str">
        <f t="shared" si="24"/>
        <v>1 - 39 Days</v>
      </c>
      <c r="K428" s="3">
        <v>33</v>
      </c>
      <c r="L428" s="2" t="s">
        <v>745</v>
      </c>
      <c r="M428" t="str">
        <f t="shared" si="25"/>
        <v>Middle Aged</v>
      </c>
      <c r="N428" s="2" t="s">
        <v>739</v>
      </c>
      <c r="O428" s="1" t="str">
        <f t="shared" si="26"/>
        <v>College</v>
      </c>
      <c r="P428" s="2" t="s">
        <v>735</v>
      </c>
      <c r="Q428" t="str">
        <f t="shared" si="27"/>
        <v>Male</v>
      </c>
    </row>
    <row r="429" spans="1:17" x14ac:dyDescent="0.25">
      <c r="A429" s="1" t="s">
        <v>605</v>
      </c>
      <c r="B429" s="2" t="s">
        <v>564</v>
      </c>
      <c r="C429" s="3">
        <v>1000</v>
      </c>
      <c r="D429" s="3">
        <v>30</v>
      </c>
      <c r="E429" s="18">
        <v>42683</v>
      </c>
      <c r="F429" s="18">
        <v>42653</v>
      </c>
      <c r="G429" s="19">
        <v>42684.459722222222</v>
      </c>
      <c r="H429" s="3">
        <v>2</v>
      </c>
      <c r="I429" s="2" t="s">
        <v>730</v>
      </c>
      <c r="J429" s="1" t="str">
        <f t="shared" si="24"/>
        <v>1 - 39 Days</v>
      </c>
      <c r="K429" s="3">
        <v>27</v>
      </c>
      <c r="L429" s="2" t="s">
        <v>745</v>
      </c>
      <c r="M429" t="str">
        <f t="shared" si="25"/>
        <v>Middle Aged</v>
      </c>
      <c r="N429" s="2" t="s">
        <v>739</v>
      </c>
      <c r="O429" s="1" t="str">
        <f t="shared" si="26"/>
        <v>College</v>
      </c>
      <c r="P429" s="2" t="s">
        <v>736</v>
      </c>
      <c r="Q429" t="str">
        <f t="shared" si="27"/>
        <v>Female</v>
      </c>
    </row>
    <row r="430" spans="1:17" x14ac:dyDescent="0.25">
      <c r="A430" s="1" t="s">
        <v>606</v>
      </c>
      <c r="B430" s="2" t="s">
        <v>564</v>
      </c>
      <c r="C430" s="3">
        <v>1000</v>
      </c>
      <c r="D430" s="3">
        <v>30</v>
      </c>
      <c r="E430" s="18">
        <v>42683</v>
      </c>
      <c r="F430" s="18">
        <v>42653</v>
      </c>
      <c r="G430" s="19">
        <v>42714.553472222222</v>
      </c>
      <c r="H430" s="3">
        <v>2</v>
      </c>
      <c r="I430" s="2" t="s">
        <v>730</v>
      </c>
      <c r="J430" s="1" t="str">
        <f t="shared" si="24"/>
        <v>1 - 39 Days</v>
      </c>
      <c r="K430" s="3">
        <v>35</v>
      </c>
      <c r="L430" s="2" t="s">
        <v>743</v>
      </c>
      <c r="M430" t="str">
        <f t="shared" si="25"/>
        <v>Mature</v>
      </c>
      <c r="N430" s="2" t="s">
        <v>737</v>
      </c>
      <c r="O430" s="1" t="str">
        <f t="shared" si="26"/>
        <v>High School Or Below</v>
      </c>
      <c r="P430" s="2" t="s">
        <v>735</v>
      </c>
      <c r="Q430" t="str">
        <f t="shared" si="27"/>
        <v>Male</v>
      </c>
    </row>
    <row r="431" spans="1:17" x14ac:dyDescent="0.25">
      <c r="A431" s="1" t="s">
        <v>607</v>
      </c>
      <c r="B431" s="2" t="s">
        <v>564</v>
      </c>
      <c r="C431" s="3">
        <v>500</v>
      </c>
      <c r="D431" s="3">
        <v>15</v>
      </c>
      <c r="E431" s="18">
        <v>42683</v>
      </c>
      <c r="F431" s="18">
        <v>42653</v>
      </c>
      <c r="G431" s="19">
        <v>42684.723611111112</v>
      </c>
      <c r="H431" s="3">
        <v>1</v>
      </c>
      <c r="I431" s="2" t="s">
        <v>730</v>
      </c>
      <c r="J431" s="1" t="str">
        <f t="shared" si="24"/>
        <v>1 - 39 Days</v>
      </c>
      <c r="K431" s="3">
        <v>37</v>
      </c>
      <c r="L431" s="2" t="s">
        <v>743</v>
      </c>
      <c r="M431" t="str">
        <f t="shared" si="25"/>
        <v>Mature</v>
      </c>
      <c r="N431" s="2" t="s">
        <v>738</v>
      </c>
      <c r="O431" s="1" t="str">
        <f t="shared" si="26"/>
        <v>Bachelor</v>
      </c>
      <c r="P431" s="2" t="s">
        <v>735</v>
      </c>
      <c r="Q431" t="str">
        <f t="shared" si="27"/>
        <v>Male</v>
      </c>
    </row>
    <row r="432" spans="1:17" x14ac:dyDescent="0.25">
      <c r="A432" s="1" t="s">
        <v>608</v>
      </c>
      <c r="B432" s="2" t="s">
        <v>564</v>
      </c>
      <c r="C432" s="3">
        <v>800</v>
      </c>
      <c r="D432" s="3">
        <v>15</v>
      </c>
      <c r="E432" s="18">
        <v>42683</v>
      </c>
      <c r="F432" s="18" t="s">
        <v>63</v>
      </c>
      <c r="G432" s="19" t="s">
        <v>609</v>
      </c>
      <c r="H432" s="3">
        <v>3</v>
      </c>
      <c r="I432" s="2" t="s">
        <v>730</v>
      </c>
      <c r="J432" s="1" t="str">
        <f t="shared" si="24"/>
        <v>1 - 39 Days</v>
      </c>
      <c r="K432" s="3">
        <v>28</v>
      </c>
      <c r="L432" s="2" t="s">
        <v>745</v>
      </c>
      <c r="M432" t="str">
        <f t="shared" si="25"/>
        <v>Middle Aged</v>
      </c>
      <c r="N432" s="2" t="s">
        <v>738</v>
      </c>
      <c r="O432" s="1" t="str">
        <f t="shared" si="26"/>
        <v>Bachelor</v>
      </c>
      <c r="P432" s="2" t="s">
        <v>735</v>
      </c>
      <c r="Q432" t="str">
        <f t="shared" si="27"/>
        <v>Male</v>
      </c>
    </row>
    <row r="433" spans="1:17" x14ac:dyDescent="0.25">
      <c r="A433" s="1" t="s">
        <v>610</v>
      </c>
      <c r="B433" s="2" t="s">
        <v>564</v>
      </c>
      <c r="C433" s="3">
        <v>1000</v>
      </c>
      <c r="D433" s="3">
        <v>15</v>
      </c>
      <c r="E433" s="18">
        <v>42683</v>
      </c>
      <c r="F433" s="18" t="s">
        <v>63</v>
      </c>
      <c r="G433" s="19" t="s">
        <v>611</v>
      </c>
      <c r="H433" s="3">
        <v>4</v>
      </c>
      <c r="I433" s="2" t="s">
        <v>730</v>
      </c>
      <c r="J433" s="1" t="str">
        <f t="shared" si="24"/>
        <v>1 - 39 Days</v>
      </c>
      <c r="K433" s="3">
        <v>33</v>
      </c>
      <c r="L433" s="2" t="s">
        <v>745</v>
      </c>
      <c r="M433" t="str">
        <f t="shared" si="25"/>
        <v>Middle Aged</v>
      </c>
      <c r="N433" s="2" t="s">
        <v>739</v>
      </c>
      <c r="O433" s="1" t="str">
        <f t="shared" si="26"/>
        <v>College</v>
      </c>
      <c r="P433" s="2" t="s">
        <v>735</v>
      </c>
      <c r="Q433" t="str">
        <f t="shared" si="27"/>
        <v>Male</v>
      </c>
    </row>
    <row r="434" spans="1:17" x14ac:dyDescent="0.25">
      <c r="A434" s="1" t="s">
        <v>612</v>
      </c>
      <c r="B434" s="2" t="s">
        <v>564</v>
      </c>
      <c r="C434" s="3">
        <v>800</v>
      </c>
      <c r="D434" s="3">
        <v>7</v>
      </c>
      <c r="E434" s="18">
        <v>42683</v>
      </c>
      <c r="F434" s="18" t="s">
        <v>87</v>
      </c>
      <c r="G434" s="19" t="s">
        <v>613</v>
      </c>
      <c r="H434" s="3">
        <v>2</v>
      </c>
      <c r="I434" s="2" t="s">
        <v>730</v>
      </c>
      <c r="J434" s="1" t="str">
        <f t="shared" si="24"/>
        <v>1 - 39 Days</v>
      </c>
      <c r="K434" s="3">
        <v>34</v>
      </c>
      <c r="L434" s="2" t="s">
        <v>743</v>
      </c>
      <c r="M434" t="str">
        <f t="shared" si="25"/>
        <v>Mature</v>
      </c>
      <c r="N434" s="2" t="s">
        <v>738</v>
      </c>
      <c r="O434" s="1" t="str">
        <f t="shared" si="26"/>
        <v>Bachelor</v>
      </c>
      <c r="P434" s="2" t="s">
        <v>736</v>
      </c>
      <c r="Q434" t="str">
        <f t="shared" si="27"/>
        <v>Female</v>
      </c>
    </row>
    <row r="435" spans="1:17" x14ac:dyDescent="0.25">
      <c r="A435" s="1" t="s">
        <v>614</v>
      </c>
      <c r="B435" s="2" t="s">
        <v>564</v>
      </c>
      <c r="C435" s="3">
        <v>1000</v>
      </c>
      <c r="D435" s="3">
        <v>30</v>
      </c>
      <c r="E435" s="18">
        <v>42683</v>
      </c>
      <c r="F435" s="18">
        <v>42653</v>
      </c>
      <c r="G435" s="19">
        <v>42714.605555555558</v>
      </c>
      <c r="H435" s="3">
        <v>2</v>
      </c>
      <c r="I435" s="2" t="s">
        <v>730</v>
      </c>
      <c r="J435" s="1" t="str">
        <f t="shared" si="24"/>
        <v>1 - 39 Days</v>
      </c>
      <c r="K435" s="3">
        <v>29</v>
      </c>
      <c r="L435" s="2" t="s">
        <v>745</v>
      </c>
      <c r="M435" t="str">
        <f t="shared" si="25"/>
        <v>Middle Aged</v>
      </c>
      <c r="N435" s="2" t="s">
        <v>739</v>
      </c>
      <c r="O435" s="1" t="str">
        <f t="shared" si="26"/>
        <v>College</v>
      </c>
      <c r="P435" s="2" t="s">
        <v>735</v>
      </c>
      <c r="Q435" t="str">
        <f t="shared" si="27"/>
        <v>Male</v>
      </c>
    </row>
    <row r="436" spans="1:17" x14ac:dyDescent="0.25">
      <c r="A436" s="1" t="s">
        <v>615</v>
      </c>
      <c r="B436" s="2" t="s">
        <v>564</v>
      </c>
      <c r="C436" s="3">
        <v>1000</v>
      </c>
      <c r="D436" s="3">
        <v>30</v>
      </c>
      <c r="E436" s="18">
        <v>42683</v>
      </c>
      <c r="F436" s="18">
        <v>42653</v>
      </c>
      <c r="G436" s="19">
        <v>42684.481249999997</v>
      </c>
      <c r="H436" s="3">
        <v>1</v>
      </c>
      <c r="I436" s="2" t="s">
        <v>730</v>
      </c>
      <c r="J436" s="1" t="str">
        <f t="shared" si="24"/>
        <v>1 - 39 Days</v>
      </c>
      <c r="K436" s="3">
        <v>34</v>
      </c>
      <c r="L436" s="2" t="s">
        <v>743</v>
      </c>
      <c r="M436" t="str">
        <f t="shared" si="25"/>
        <v>Mature</v>
      </c>
      <c r="N436" s="2" t="s">
        <v>738</v>
      </c>
      <c r="O436" s="1" t="str">
        <f t="shared" si="26"/>
        <v>Bachelor</v>
      </c>
      <c r="P436" s="2" t="s">
        <v>735</v>
      </c>
      <c r="Q436" t="str">
        <f t="shared" si="27"/>
        <v>Male</v>
      </c>
    </row>
    <row r="437" spans="1:17" x14ac:dyDescent="0.25">
      <c r="A437" s="1" t="s">
        <v>616</v>
      </c>
      <c r="B437" s="2" t="s">
        <v>564</v>
      </c>
      <c r="C437" s="3">
        <v>1000</v>
      </c>
      <c r="D437" s="3">
        <v>30</v>
      </c>
      <c r="E437" s="18">
        <v>42683</v>
      </c>
      <c r="F437" s="18">
        <v>42653</v>
      </c>
      <c r="G437" s="19">
        <v>42684.685416666667</v>
      </c>
      <c r="H437" s="3">
        <v>1</v>
      </c>
      <c r="I437" s="2" t="s">
        <v>730</v>
      </c>
      <c r="J437" s="1" t="str">
        <f t="shared" si="24"/>
        <v>1 - 39 Days</v>
      </c>
      <c r="K437" s="3">
        <v>29</v>
      </c>
      <c r="L437" s="2" t="s">
        <v>745</v>
      </c>
      <c r="M437" t="str">
        <f t="shared" si="25"/>
        <v>Middle Aged</v>
      </c>
      <c r="N437" s="2" t="s">
        <v>738</v>
      </c>
      <c r="O437" s="1" t="str">
        <f t="shared" si="26"/>
        <v>Bachelor</v>
      </c>
      <c r="P437" s="2" t="s">
        <v>735</v>
      </c>
      <c r="Q437" t="str">
        <f t="shared" si="27"/>
        <v>Male</v>
      </c>
    </row>
    <row r="438" spans="1:17" x14ac:dyDescent="0.25">
      <c r="A438" s="1" t="s">
        <v>617</v>
      </c>
      <c r="B438" s="2" t="s">
        <v>564</v>
      </c>
      <c r="C438" s="3">
        <v>1000</v>
      </c>
      <c r="D438" s="3">
        <v>30</v>
      </c>
      <c r="E438" s="18">
        <v>42683</v>
      </c>
      <c r="F438" s="18">
        <v>42653</v>
      </c>
      <c r="G438" s="19" t="s">
        <v>618</v>
      </c>
      <c r="H438" s="3">
        <v>36</v>
      </c>
      <c r="I438" s="2" t="s">
        <v>730</v>
      </c>
      <c r="J438" s="1" t="str">
        <f t="shared" si="24"/>
        <v>1 - 39 Days</v>
      </c>
      <c r="K438" s="3">
        <v>24</v>
      </c>
      <c r="L438" s="2" t="s">
        <v>746</v>
      </c>
      <c r="M438" t="str">
        <f t="shared" si="25"/>
        <v xml:space="preserve"> Young Adults</v>
      </c>
      <c r="N438" s="2" t="s">
        <v>737</v>
      </c>
      <c r="O438" s="1" t="str">
        <f t="shared" si="26"/>
        <v>High School Or Below</v>
      </c>
      <c r="P438" s="2" t="s">
        <v>735</v>
      </c>
      <c r="Q438" t="str">
        <f t="shared" si="27"/>
        <v>Male</v>
      </c>
    </row>
    <row r="439" spans="1:17" x14ac:dyDescent="0.25">
      <c r="A439" s="1" t="s">
        <v>619</v>
      </c>
      <c r="B439" s="2" t="s">
        <v>564</v>
      </c>
      <c r="C439" s="3">
        <v>1000</v>
      </c>
      <c r="D439" s="3">
        <v>30</v>
      </c>
      <c r="E439" s="18">
        <v>42683</v>
      </c>
      <c r="F439" s="18">
        <v>42653</v>
      </c>
      <c r="G439" s="19">
        <v>42684.675694444442</v>
      </c>
      <c r="H439" s="3">
        <v>1</v>
      </c>
      <c r="I439" s="2" t="s">
        <v>730</v>
      </c>
      <c r="J439" s="1" t="str">
        <f t="shared" si="24"/>
        <v>1 - 39 Days</v>
      </c>
      <c r="K439" s="3">
        <v>34</v>
      </c>
      <c r="L439" s="2" t="s">
        <v>743</v>
      </c>
      <c r="M439" t="str">
        <f t="shared" si="25"/>
        <v>Mature</v>
      </c>
      <c r="N439" s="2" t="s">
        <v>737</v>
      </c>
      <c r="O439" s="1" t="str">
        <f t="shared" si="26"/>
        <v>High School Or Below</v>
      </c>
      <c r="P439" s="2" t="s">
        <v>735</v>
      </c>
      <c r="Q439" t="str">
        <f t="shared" si="27"/>
        <v>Male</v>
      </c>
    </row>
    <row r="440" spans="1:17" x14ac:dyDescent="0.25">
      <c r="A440" s="1" t="s">
        <v>620</v>
      </c>
      <c r="B440" s="2" t="s">
        <v>564</v>
      </c>
      <c r="C440" s="3">
        <v>1000</v>
      </c>
      <c r="D440" s="3">
        <v>30</v>
      </c>
      <c r="E440" s="18">
        <v>42683</v>
      </c>
      <c r="F440" s="18">
        <v>42653</v>
      </c>
      <c r="G440" s="19" t="s">
        <v>621</v>
      </c>
      <c r="H440" s="3">
        <v>7</v>
      </c>
      <c r="I440" s="2" t="s">
        <v>730</v>
      </c>
      <c r="J440" s="1" t="str">
        <f t="shared" si="24"/>
        <v>1 - 39 Days</v>
      </c>
      <c r="K440" s="3">
        <v>25</v>
      </c>
      <c r="L440" s="2" t="s">
        <v>746</v>
      </c>
      <c r="M440" t="str">
        <f t="shared" si="25"/>
        <v xml:space="preserve"> Young Adults</v>
      </c>
      <c r="N440" s="2" t="s">
        <v>739</v>
      </c>
      <c r="O440" s="1" t="str">
        <f t="shared" si="26"/>
        <v>College</v>
      </c>
      <c r="P440" s="2" t="s">
        <v>736</v>
      </c>
      <c r="Q440" t="str">
        <f t="shared" si="27"/>
        <v>Female</v>
      </c>
    </row>
    <row r="441" spans="1:17" x14ac:dyDescent="0.25">
      <c r="A441" s="1" t="s">
        <v>622</v>
      </c>
      <c r="B441" s="2" t="s">
        <v>564</v>
      </c>
      <c r="C441" s="3">
        <v>1000</v>
      </c>
      <c r="D441" s="3">
        <v>30</v>
      </c>
      <c r="E441" s="18">
        <v>42683</v>
      </c>
      <c r="F441" s="18">
        <v>42624</v>
      </c>
      <c r="G441" s="19" t="s">
        <v>623</v>
      </c>
      <c r="H441" s="3">
        <v>5</v>
      </c>
      <c r="I441" s="2" t="s">
        <v>730</v>
      </c>
      <c r="J441" s="1" t="str">
        <f t="shared" si="24"/>
        <v>1 - 39 Days</v>
      </c>
      <c r="K441" s="3">
        <v>24</v>
      </c>
      <c r="L441" s="2" t="s">
        <v>746</v>
      </c>
      <c r="M441" t="str">
        <f t="shared" si="25"/>
        <v xml:space="preserve"> Young Adults</v>
      </c>
      <c r="N441" s="2" t="s">
        <v>739</v>
      </c>
      <c r="O441" s="1" t="str">
        <f t="shared" si="26"/>
        <v>College</v>
      </c>
      <c r="P441" s="2" t="s">
        <v>735</v>
      </c>
      <c r="Q441" t="str">
        <f t="shared" si="27"/>
        <v>Male</v>
      </c>
    </row>
    <row r="442" spans="1:17" x14ac:dyDescent="0.25">
      <c r="A442" s="1" t="s">
        <v>624</v>
      </c>
      <c r="B442" s="2" t="s">
        <v>564</v>
      </c>
      <c r="C442" s="3">
        <v>1000</v>
      </c>
      <c r="D442" s="3">
        <v>30</v>
      </c>
      <c r="E442" s="18">
        <v>42683</v>
      </c>
      <c r="F442" s="18">
        <v>42653</v>
      </c>
      <c r="G442" s="19" t="s">
        <v>625</v>
      </c>
      <c r="H442" s="3">
        <v>14</v>
      </c>
      <c r="I442" s="2" t="s">
        <v>730</v>
      </c>
      <c r="J442" s="1" t="str">
        <f t="shared" si="24"/>
        <v>1 - 39 Days</v>
      </c>
      <c r="K442" s="3">
        <v>30</v>
      </c>
      <c r="L442" s="2" t="s">
        <v>745</v>
      </c>
      <c r="M442" t="str">
        <f t="shared" si="25"/>
        <v>Middle Aged</v>
      </c>
      <c r="N442" s="2" t="s">
        <v>739</v>
      </c>
      <c r="O442" s="1" t="str">
        <f t="shared" si="26"/>
        <v>College</v>
      </c>
      <c r="P442" s="2" t="s">
        <v>735</v>
      </c>
      <c r="Q442" t="str">
        <f t="shared" si="27"/>
        <v>Male</v>
      </c>
    </row>
    <row r="443" spans="1:17" x14ac:dyDescent="0.25">
      <c r="A443" s="1" t="s">
        <v>626</v>
      </c>
      <c r="B443" s="2" t="s">
        <v>564</v>
      </c>
      <c r="C443" s="3">
        <v>1000</v>
      </c>
      <c r="D443" s="3">
        <v>15</v>
      </c>
      <c r="E443" s="18">
        <v>42683</v>
      </c>
      <c r="F443" s="18" t="s">
        <v>63</v>
      </c>
      <c r="G443" s="19" t="s">
        <v>627</v>
      </c>
      <c r="H443" s="3">
        <v>2</v>
      </c>
      <c r="I443" s="2" t="s">
        <v>730</v>
      </c>
      <c r="J443" s="1" t="str">
        <f t="shared" si="24"/>
        <v>1 - 39 Days</v>
      </c>
      <c r="K443" s="3">
        <v>28</v>
      </c>
      <c r="L443" s="2" t="s">
        <v>745</v>
      </c>
      <c r="M443" t="str">
        <f t="shared" si="25"/>
        <v>Middle Aged</v>
      </c>
      <c r="N443" s="2" t="s">
        <v>739</v>
      </c>
      <c r="O443" s="1" t="str">
        <f t="shared" si="26"/>
        <v>College</v>
      </c>
      <c r="P443" s="2" t="s">
        <v>735</v>
      </c>
      <c r="Q443" t="str">
        <f t="shared" si="27"/>
        <v>Male</v>
      </c>
    </row>
    <row r="444" spans="1:17" x14ac:dyDescent="0.25">
      <c r="A444" s="1" t="s">
        <v>628</v>
      </c>
      <c r="B444" s="2" t="s">
        <v>564</v>
      </c>
      <c r="C444" s="3">
        <v>1000</v>
      </c>
      <c r="D444" s="3">
        <v>30</v>
      </c>
      <c r="E444" s="18">
        <v>42683</v>
      </c>
      <c r="F444" s="18">
        <v>42653</v>
      </c>
      <c r="G444" s="19">
        <v>42684.491666666669</v>
      </c>
      <c r="H444" s="3">
        <v>1</v>
      </c>
      <c r="I444" s="2" t="s">
        <v>730</v>
      </c>
      <c r="J444" s="1" t="str">
        <f t="shared" si="24"/>
        <v>1 - 39 Days</v>
      </c>
      <c r="K444" s="3">
        <v>24</v>
      </c>
      <c r="L444" s="2" t="s">
        <v>746</v>
      </c>
      <c r="M444" t="str">
        <f t="shared" si="25"/>
        <v xml:space="preserve"> Young Adults</v>
      </c>
      <c r="N444" s="2" t="s">
        <v>737</v>
      </c>
      <c r="O444" s="1" t="str">
        <f t="shared" si="26"/>
        <v>High School Or Below</v>
      </c>
      <c r="P444" s="2" t="s">
        <v>735</v>
      </c>
      <c r="Q444" t="str">
        <f t="shared" si="27"/>
        <v>Male</v>
      </c>
    </row>
    <row r="445" spans="1:17" x14ac:dyDescent="0.25">
      <c r="A445" s="1" t="s">
        <v>629</v>
      </c>
      <c r="B445" s="2" t="s">
        <v>564</v>
      </c>
      <c r="C445" s="3">
        <v>1000</v>
      </c>
      <c r="D445" s="3">
        <v>30</v>
      </c>
      <c r="E445" s="18">
        <v>42683</v>
      </c>
      <c r="F445" s="18">
        <v>42653</v>
      </c>
      <c r="G445" s="19">
        <v>42562.806250000001</v>
      </c>
      <c r="H445" s="3">
        <v>28</v>
      </c>
      <c r="I445" s="2" t="s">
        <v>730</v>
      </c>
      <c r="J445" s="1" t="str">
        <f t="shared" si="24"/>
        <v>1 - 39 Days</v>
      </c>
      <c r="K445" s="3">
        <v>26</v>
      </c>
      <c r="L445" s="2" t="s">
        <v>745</v>
      </c>
      <c r="M445" t="str">
        <f t="shared" si="25"/>
        <v>Middle Aged</v>
      </c>
      <c r="N445" s="2" t="s">
        <v>739</v>
      </c>
      <c r="O445" s="1" t="str">
        <f t="shared" si="26"/>
        <v>College</v>
      </c>
      <c r="P445" s="2" t="s">
        <v>736</v>
      </c>
      <c r="Q445" t="str">
        <f t="shared" si="27"/>
        <v>Female</v>
      </c>
    </row>
    <row r="446" spans="1:17" x14ac:dyDescent="0.25">
      <c r="A446" s="1" t="s">
        <v>630</v>
      </c>
      <c r="B446" s="2" t="s">
        <v>564</v>
      </c>
      <c r="C446" s="3">
        <v>1000</v>
      </c>
      <c r="D446" s="3">
        <v>30</v>
      </c>
      <c r="E446" s="18">
        <v>42683</v>
      </c>
      <c r="F446" s="18">
        <v>42653</v>
      </c>
      <c r="G446" s="19">
        <v>42714.681944444441</v>
      </c>
      <c r="H446" s="3">
        <v>2</v>
      </c>
      <c r="I446" s="2" t="s">
        <v>730</v>
      </c>
      <c r="J446" s="1" t="str">
        <f t="shared" si="24"/>
        <v>1 - 39 Days</v>
      </c>
      <c r="K446" s="3">
        <v>24</v>
      </c>
      <c r="L446" s="2" t="s">
        <v>746</v>
      </c>
      <c r="M446" t="str">
        <f t="shared" si="25"/>
        <v xml:space="preserve"> Young Adults</v>
      </c>
      <c r="N446" s="2" t="s">
        <v>737</v>
      </c>
      <c r="O446" s="1" t="str">
        <f t="shared" si="26"/>
        <v>High School Or Below</v>
      </c>
      <c r="P446" s="2" t="s">
        <v>735</v>
      </c>
      <c r="Q446" t="str">
        <f t="shared" si="27"/>
        <v>Male</v>
      </c>
    </row>
    <row r="447" spans="1:17" x14ac:dyDescent="0.25">
      <c r="A447" s="1" t="s">
        <v>631</v>
      </c>
      <c r="B447" s="2" t="s">
        <v>564</v>
      </c>
      <c r="C447" s="3">
        <v>1000</v>
      </c>
      <c r="D447" s="3">
        <v>15</v>
      </c>
      <c r="E447" s="18">
        <v>42683</v>
      </c>
      <c r="F447" s="18" t="s">
        <v>63</v>
      </c>
      <c r="G447" s="19" t="s">
        <v>632</v>
      </c>
      <c r="H447" s="3">
        <v>2</v>
      </c>
      <c r="I447" s="2" t="s">
        <v>730</v>
      </c>
      <c r="J447" s="1" t="str">
        <f t="shared" si="24"/>
        <v>1 - 39 Days</v>
      </c>
      <c r="K447" s="3">
        <v>29</v>
      </c>
      <c r="L447" s="2" t="s">
        <v>745</v>
      </c>
      <c r="M447" t="str">
        <f t="shared" si="25"/>
        <v>Middle Aged</v>
      </c>
      <c r="N447" s="2" t="s">
        <v>739</v>
      </c>
      <c r="O447" s="1" t="str">
        <f t="shared" si="26"/>
        <v>College</v>
      </c>
      <c r="P447" s="2" t="s">
        <v>735</v>
      </c>
      <c r="Q447" t="str">
        <f t="shared" si="27"/>
        <v>Male</v>
      </c>
    </row>
    <row r="448" spans="1:17" x14ac:dyDescent="0.25">
      <c r="A448" s="1" t="s">
        <v>633</v>
      </c>
      <c r="B448" s="2" t="s">
        <v>564</v>
      </c>
      <c r="C448" s="3">
        <v>1000</v>
      </c>
      <c r="D448" s="3">
        <v>30</v>
      </c>
      <c r="E448" s="18">
        <v>42683</v>
      </c>
      <c r="F448" s="18">
        <v>42653</v>
      </c>
      <c r="G448" s="19">
        <v>42471.463194444441</v>
      </c>
      <c r="H448" s="3">
        <v>25</v>
      </c>
      <c r="I448" s="2" t="s">
        <v>730</v>
      </c>
      <c r="J448" s="1" t="str">
        <f t="shared" si="24"/>
        <v>1 - 39 Days</v>
      </c>
      <c r="K448" s="3">
        <v>31</v>
      </c>
      <c r="L448" s="2" t="s">
        <v>745</v>
      </c>
      <c r="M448" t="str">
        <f t="shared" si="25"/>
        <v>Middle Aged</v>
      </c>
      <c r="N448" s="2" t="s">
        <v>739</v>
      </c>
      <c r="O448" s="1" t="str">
        <f t="shared" si="26"/>
        <v>College</v>
      </c>
      <c r="P448" s="2" t="s">
        <v>735</v>
      </c>
      <c r="Q448" t="str">
        <f t="shared" si="27"/>
        <v>Male</v>
      </c>
    </row>
    <row r="449" spans="1:17" x14ac:dyDescent="0.25">
      <c r="A449" s="1" t="s">
        <v>634</v>
      </c>
      <c r="B449" s="2" t="s">
        <v>564</v>
      </c>
      <c r="C449" s="3">
        <v>1000</v>
      </c>
      <c r="D449" s="3">
        <v>30</v>
      </c>
      <c r="E449" s="18">
        <v>42683</v>
      </c>
      <c r="F449" s="18">
        <v>42653</v>
      </c>
      <c r="G449" s="19">
        <v>42411.402083333334</v>
      </c>
      <c r="H449" s="3">
        <v>23</v>
      </c>
      <c r="I449" s="2" t="s">
        <v>730</v>
      </c>
      <c r="J449" s="1" t="str">
        <f t="shared" si="24"/>
        <v>1 - 39 Days</v>
      </c>
      <c r="K449" s="3">
        <v>26</v>
      </c>
      <c r="L449" s="2" t="s">
        <v>745</v>
      </c>
      <c r="M449" t="str">
        <f t="shared" si="25"/>
        <v>Middle Aged</v>
      </c>
      <c r="N449" s="2" t="s">
        <v>739</v>
      </c>
      <c r="O449" s="1" t="str">
        <f t="shared" si="26"/>
        <v>College</v>
      </c>
      <c r="P449" s="2" t="s">
        <v>735</v>
      </c>
      <c r="Q449" t="str">
        <f t="shared" si="27"/>
        <v>Male</v>
      </c>
    </row>
    <row r="450" spans="1:17" x14ac:dyDescent="0.25">
      <c r="A450" s="1" t="s">
        <v>635</v>
      </c>
      <c r="B450" s="2" t="s">
        <v>564</v>
      </c>
      <c r="C450" s="3">
        <v>1000</v>
      </c>
      <c r="D450" s="3">
        <v>30</v>
      </c>
      <c r="E450" s="18">
        <v>42683</v>
      </c>
      <c r="F450" s="18">
        <v>42653</v>
      </c>
      <c r="G450" s="19" t="s">
        <v>636</v>
      </c>
      <c r="H450" s="3">
        <v>3</v>
      </c>
      <c r="I450" s="2" t="s">
        <v>730</v>
      </c>
      <c r="J450" s="1" t="str">
        <f t="shared" si="24"/>
        <v>1 - 39 Days</v>
      </c>
      <c r="K450" s="3">
        <v>25</v>
      </c>
      <c r="L450" s="2" t="s">
        <v>746</v>
      </c>
      <c r="M450" t="str">
        <f t="shared" si="25"/>
        <v xml:space="preserve"> Young Adults</v>
      </c>
      <c r="N450" s="2" t="s">
        <v>737</v>
      </c>
      <c r="O450" s="1" t="str">
        <f t="shared" si="26"/>
        <v>High School Or Below</v>
      </c>
      <c r="P450" s="2" t="s">
        <v>735</v>
      </c>
      <c r="Q450" t="str">
        <f t="shared" si="27"/>
        <v>Male</v>
      </c>
    </row>
    <row r="451" spans="1:17" x14ac:dyDescent="0.25">
      <c r="A451" s="1" t="s">
        <v>637</v>
      </c>
      <c r="B451" s="2" t="s">
        <v>564</v>
      </c>
      <c r="C451" s="3">
        <v>1000</v>
      </c>
      <c r="D451" s="3">
        <v>30</v>
      </c>
      <c r="E451" s="18">
        <v>42683</v>
      </c>
      <c r="F451" s="18">
        <v>42653</v>
      </c>
      <c r="G451" s="19">
        <v>42684.478472222225</v>
      </c>
      <c r="H451" s="3">
        <v>1</v>
      </c>
      <c r="I451" s="2" t="s">
        <v>730</v>
      </c>
      <c r="J451" s="1" t="str">
        <f t="shared" ref="J451:J501" si="28">IF(H451 = " ", "Current", IF(H451 = 0, "Current", IF(H451 &lt;= 39, "1 - 39 Days", IF(H451 &lt;= 80, "40 - 80 Days"))))</f>
        <v>1 - 39 Days</v>
      </c>
      <c r="K451" s="3">
        <v>29</v>
      </c>
      <c r="L451" s="2" t="s">
        <v>745</v>
      </c>
      <c r="M451" t="str">
        <f t="shared" ref="M451:M501" si="29">IF(K451 &lt;= 25, " Young Adults", IF(K451 &lt;= 33, "Middle Aged", IF(K451 &lt;= 49, "Mature", IF(K451 &lt;= 100, "Old"))))</f>
        <v>Middle Aged</v>
      </c>
      <c r="N451" s="2" t="s">
        <v>739</v>
      </c>
      <c r="O451" s="1" t="str">
        <f t="shared" ref="O451:O501" si="30">PROPER(N451)</f>
        <v>College</v>
      </c>
      <c r="P451" s="2" t="s">
        <v>735</v>
      </c>
      <c r="Q451" t="str">
        <f t="shared" ref="Q451:Q501" si="31">PROPER(P451)</f>
        <v>Male</v>
      </c>
    </row>
    <row r="452" spans="1:17" x14ac:dyDescent="0.25">
      <c r="A452" s="1" t="s">
        <v>638</v>
      </c>
      <c r="B452" s="2" t="s">
        <v>564</v>
      </c>
      <c r="C452" s="3">
        <v>1000</v>
      </c>
      <c r="D452" s="3">
        <v>30</v>
      </c>
      <c r="E452" s="18">
        <v>42683</v>
      </c>
      <c r="F452" s="18">
        <v>42653</v>
      </c>
      <c r="G452" s="19" t="s">
        <v>639</v>
      </c>
      <c r="H452" s="3">
        <v>3</v>
      </c>
      <c r="I452" s="2" t="s">
        <v>730</v>
      </c>
      <c r="J452" s="1" t="str">
        <f t="shared" si="28"/>
        <v>1 - 39 Days</v>
      </c>
      <c r="K452" s="3">
        <v>38</v>
      </c>
      <c r="L452" s="2" t="s">
        <v>743</v>
      </c>
      <c r="M452" t="str">
        <f t="shared" si="29"/>
        <v>Mature</v>
      </c>
      <c r="N452" s="2" t="s">
        <v>739</v>
      </c>
      <c r="O452" s="1" t="str">
        <f t="shared" si="30"/>
        <v>College</v>
      </c>
      <c r="P452" s="2" t="s">
        <v>735</v>
      </c>
      <c r="Q452" t="str">
        <f t="shared" si="31"/>
        <v>Male</v>
      </c>
    </row>
    <row r="453" spans="1:17" x14ac:dyDescent="0.25">
      <c r="A453" s="1" t="s">
        <v>640</v>
      </c>
      <c r="B453" s="2" t="s">
        <v>564</v>
      </c>
      <c r="C453" s="3">
        <v>800</v>
      </c>
      <c r="D453" s="3">
        <v>15</v>
      </c>
      <c r="E453" s="18">
        <v>42683</v>
      </c>
      <c r="F453" s="18" t="s">
        <v>63</v>
      </c>
      <c r="G453" s="19" t="s">
        <v>641</v>
      </c>
      <c r="H453" s="3">
        <v>4</v>
      </c>
      <c r="I453" s="2" t="s">
        <v>730</v>
      </c>
      <c r="J453" s="1" t="str">
        <f t="shared" si="28"/>
        <v>1 - 39 Days</v>
      </c>
      <c r="K453" s="3">
        <v>41</v>
      </c>
      <c r="L453" s="2" t="s">
        <v>743</v>
      </c>
      <c r="M453" t="str">
        <f t="shared" si="29"/>
        <v>Mature</v>
      </c>
      <c r="N453" s="2" t="s">
        <v>739</v>
      </c>
      <c r="O453" s="1" t="str">
        <f t="shared" si="30"/>
        <v>College</v>
      </c>
      <c r="P453" s="2" t="s">
        <v>735</v>
      </c>
      <c r="Q453" t="str">
        <f t="shared" si="31"/>
        <v>Male</v>
      </c>
    </row>
    <row r="454" spans="1:17" x14ac:dyDescent="0.25">
      <c r="A454" s="1" t="s">
        <v>642</v>
      </c>
      <c r="B454" s="2" t="s">
        <v>564</v>
      </c>
      <c r="C454" s="3">
        <v>1000</v>
      </c>
      <c r="D454" s="3">
        <v>15</v>
      </c>
      <c r="E454" s="18">
        <v>42683</v>
      </c>
      <c r="F454" s="18" t="s">
        <v>63</v>
      </c>
      <c r="G454" s="19" t="s">
        <v>643</v>
      </c>
      <c r="H454" s="3">
        <v>3</v>
      </c>
      <c r="I454" s="2" t="s">
        <v>730</v>
      </c>
      <c r="J454" s="1" t="str">
        <f t="shared" si="28"/>
        <v>1 - 39 Days</v>
      </c>
      <c r="K454" s="3">
        <v>26</v>
      </c>
      <c r="L454" s="2" t="s">
        <v>745</v>
      </c>
      <c r="M454" t="str">
        <f t="shared" si="29"/>
        <v>Middle Aged</v>
      </c>
      <c r="N454" s="2" t="s">
        <v>737</v>
      </c>
      <c r="O454" s="1" t="str">
        <f t="shared" si="30"/>
        <v>High School Or Below</v>
      </c>
      <c r="P454" s="2" t="s">
        <v>735</v>
      </c>
      <c r="Q454" t="str">
        <f t="shared" si="31"/>
        <v>Male</v>
      </c>
    </row>
    <row r="455" spans="1:17" x14ac:dyDescent="0.25">
      <c r="A455" s="1" t="s">
        <v>644</v>
      </c>
      <c r="B455" s="2" t="s">
        <v>564</v>
      </c>
      <c r="C455" s="3">
        <v>1000</v>
      </c>
      <c r="D455" s="3">
        <v>30</v>
      </c>
      <c r="E455" s="18">
        <v>42713</v>
      </c>
      <c r="F455" s="18">
        <v>42684</v>
      </c>
      <c r="G455" s="19" t="s">
        <v>645</v>
      </c>
      <c r="H455" s="3">
        <v>3</v>
      </c>
      <c r="I455" s="2" t="s">
        <v>730</v>
      </c>
      <c r="J455" s="1" t="str">
        <f t="shared" si="28"/>
        <v>1 - 39 Days</v>
      </c>
      <c r="K455" s="3">
        <v>26</v>
      </c>
      <c r="L455" s="2" t="s">
        <v>745</v>
      </c>
      <c r="M455" t="str">
        <f t="shared" si="29"/>
        <v>Middle Aged</v>
      </c>
      <c r="N455" s="2" t="s">
        <v>737</v>
      </c>
      <c r="O455" s="1" t="str">
        <f t="shared" si="30"/>
        <v>High School Or Below</v>
      </c>
      <c r="P455" s="2" t="s">
        <v>735</v>
      </c>
      <c r="Q455" t="str">
        <f t="shared" si="31"/>
        <v>Male</v>
      </c>
    </row>
    <row r="456" spans="1:17" x14ac:dyDescent="0.25">
      <c r="A456" s="1" t="s">
        <v>646</v>
      </c>
      <c r="B456" s="2" t="s">
        <v>564</v>
      </c>
      <c r="C456" s="3">
        <v>1000</v>
      </c>
      <c r="D456" s="3">
        <v>30</v>
      </c>
      <c r="E456" s="18">
        <v>42713</v>
      </c>
      <c r="F456" s="18">
        <v>42684</v>
      </c>
      <c r="G456" s="19" t="s">
        <v>647</v>
      </c>
      <c r="H456" s="3">
        <v>6</v>
      </c>
      <c r="I456" s="2" t="s">
        <v>730</v>
      </c>
      <c r="J456" s="1" t="str">
        <f t="shared" si="28"/>
        <v>1 - 39 Days</v>
      </c>
      <c r="K456" s="3">
        <v>35</v>
      </c>
      <c r="L456" s="2" t="s">
        <v>743</v>
      </c>
      <c r="M456" t="str">
        <f t="shared" si="29"/>
        <v>Mature</v>
      </c>
      <c r="N456" s="2" t="s">
        <v>737</v>
      </c>
      <c r="O456" s="1" t="str">
        <f t="shared" si="30"/>
        <v>High School Or Below</v>
      </c>
      <c r="P456" s="2" t="s">
        <v>735</v>
      </c>
      <c r="Q456" t="str">
        <f t="shared" si="31"/>
        <v>Male</v>
      </c>
    </row>
    <row r="457" spans="1:17" x14ac:dyDescent="0.25">
      <c r="A457" s="1" t="s">
        <v>648</v>
      </c>
      <c r="B457" s="2" t="s">
        <v>564</v>
      </c>
      <c r="C457" s="3">
        <v>1000</v>
      </c>
      <c r="D457" s="3">
        <v>15</v>
      </c>
      <c r="E457" s="18">
        <v>42713</v>
      </c>
      <c r="F457" s="18" t="s">
        <v>237</v>
      </c>
      <c r="G457" s="19" t="s">
        <v>649</v>
      </c>
      <c r="H457" s="3">
        <v>2</v>
      </c>
      <c r="I457" s="2" t="s">
        <v>730</v>
      </c>
      <c r="J457" s="1" t="str">
        <f t="shared" si="28"/>
        <v>1 - 39 Days</v>
      </c>
      <c r="K457" s="3">
        <v>37</v>
      </c>
      <c r="L457" s="2" t="s">
        <v>743</v>
      </c>
      <c r="M457" t="str">
        <f t="shared" si="29"/>
        <v>Mature</v>
      </c>
      <c r="N457" s="2" t="s">
        <v>739</v>
      </c>
      <c r="O457" s="1" t="str">
        <f t="shared" si="30"/>
        <v>College</v>
      </c>
      <c r="P457" s="2" t="s">
        <v>735</v>
      </c>
      <c r="Q457" t="str">
        <f t="shared" si="31"/>
        <v>Male</v>
      </c>
    </row>
    <row r="458" spans="1:17" x14ac:dyDescent="0.25">
      <c r="A458" s="1" t="s">
        <v>650</v>
      </c>
      <c r="B458" s="2" t="s">
        <v>564</v>
      </c>
      <c r="C458" s="3">
        <v>1000</v>
      </c>
      <c r="D458" s="3">
        <v>30</v>
      </c>
      <c r="E458" s="18">
        <v>42713</v>
      </c>
      <c r="F458" s="18">
        <v>42684</v>
      </c>
      <c r="G458" s="19" t="s">
        <v>651</v>
      </c>
      <c r="H458" s="3">
        <v>38</v>
      </c>
      <c r="I458" s="2" t="s">
        <v>730</v>
      </c>
      <c r="J458" s="1" t="str">
        <f t="shared" si="28"/>
        <v>1 - 39 Days</v>
      </c>
      <c r="K458" s="3">
        <v>25</v>
      </c>
      <c r="L458" s="2" t="s">
        <v>746</v>
      </c>
      <c r="M458" t="str">
        <f t="shared" si="29"/>
        <v xml:space="preserve"> Young Adults</v>
      </c>
      <c r="N458" s="2" t="s">
        <v>739</v>
      </c>
      <c r="O458" s="1" t="str">
        <f t="shared" si="30"/>
        <v>College</v>
      </c>
      <c r="P458" s="2" t="s">
        <v>735</v>
      </c>
      <c r="Q458" t="str">
        <f t="shared" si="31"/>
        <v>Male</v>
      </c>
    </row>
    <row r="459" spans="1:17" x14ac:dyDescent="0.25">
      <c r="A459" s="1" t="s">
        <v>652</v>
      </c>
      <c r="B459" s="2" t="s">
        <v>564</v>
      </c>
      <c r="C459" s="3">
        <v>1000</v>
      </c>
      <c r="D459" s="3">
        <v>30</v>
      </c>
      <c r="E459" s="18">
        <v>42713</v>
      </c>
      <c r="F459" s="18">
        <v>42684</v>
      </c>
      <c r="G459" s="19" t="s">
        <v>653</v>
      </c>
      <c r="H459" s="3">
        <v>19</v>
      </c>
      <c r="I459" s="2" t="s">
        <v>730</v>
      </c>
      <c r="J459" s="1" t="str">
        <f t="shared" si="28"/>
        <v>1 - 39 Days</v>
      </c>
      <c r="K459" s="3">
        <v>24</v>
      </c>
      <c r="L459" s="2" t="s">
        <v>746</v>
      </c>
      <c r="M459" t="str">
        <f t="shared" si="29"/>
        <v xml:space="preserve"> Young Adults</v>
      </c>
      <c r="N459" s="2" t="s">
        <v>739</v>
      </c>
      <c r="O459" s="1" t="str">
        <f t="shared" si="30"/>
        <v>College</v>
      </c>
      <c r="P459" s="2" t="s">
        <v>735</v>
      </c>
      <c r="Q459" t="str">
        <f t="shared" si="31"/>
        <v>Male</v>
      </c>
    </row>
    <row r="460" spans="1:17" x14ac:dyDescent="0.25">
      <c r="A460" s="1" t="s">
        <v>654</v>
      </c>
      <c r="B460" s="2" t="s">
        <v>564</v>
      </c>
      <c r="C460" s="3">
        <v>1000</v>
      </c>
      <c r="D460" s="3">
        <v>30</v>
      </c>
      <c r="E460" s="18">
        <v>42713</v>
      </c>
      <c r="F460" s="18">
        <v>42684</v>
      </c>
      <c r="G460" s="19" t="s">
        <v>655</v>
      </c>
      <c r="H460" s="3">
        <v>2</v>
      </c>
      <c r="I460" s="2" t="s">
        <v>730</v>
      </c>
      <c r="J460" s="1" t="str">
        <f t="shared" si="28"/>
        <v>1 - 39 Days</v>
      </c>
      <c r="K460" s="3">
        <v>34</v>
      </c>
      <c r="L460" s="2" t="s">
        <v>743</v>
      </c>
      <c r="M460" t="str">
        <f t="shared" si="29"/>
        <v>Mature</v>
      </c>
      <c r="N460" s="2" t="s">
        <v>739</v>
      </c>
      <c r="O460" s="1" t="str">
        <f t="shared" si="30"/>
        <v>College</v>
      </c>
      <c r="P460" s="2" t="s">
        <v>735</v>
      </c>
      <c r="Q460" t="str">
        <f t="shared" si="31"/>
        <v>Male</v>
      </c>
    </row>
    <row r="461" spans="1:17" x14ac:dyDescent="0.25">
      <c r="A461" s="1" t="s">
        <v>656</v>
      </c>
      <c r="B461" s="2" t="s">
        <v>564</v>
      </c>
      <c r="C461" s="3">
        <v>800</v>
      </c>
      <c r="D461" s="3">
        <v>15</v>
      </c>
      <c r="E461" s="18">
        <v>42713</v>
      </c>
      <c r="F461" s="18" t="s">
        <v>237</v>
      </c>
      <c r="G461" s="19" t="s">
        <v>657</v>
      </c>
      <c r="H461" s="3">
        <v>2</v>
      </c>
      <c r="I461" s="2" t="s">
        <v>730</v>
      </c>
      <c r="J461" s="1" t="str">
        <f t="shared" si="28"/>
        <v>1 - 39 Days</v>
      </c>
      <c r="K461" s="3">
        <v>33</v>
      </c>
      <c r="L461" s="2" t="s">
        <v>745</v>
      </c>
      <c r="M461" t="str">
        <f t="shared" si="29"/>
        <v>Middle Aged</v>
      </c>
      <c r="N461" s="2" t="s">
        <v>739</v>
      </c>
      <c r="O461" s="1" t="str">
        <f t="shared" si="30"/>
        <v>College</v>
      </c>
      <c r="P461" s="2" t="s">
        <v>735</v>
      </c>
      <c r="Q461" t="str">
        <f t="shared" si="31"/>
        <v>Male</v>
      </c>
    </row>
    <row r="462" spans="1:17" x14ac:dyDescent="0.25">
      <c r="A462" s="1" t="s">
        <v>658</v>
      </c>
      <c r="B462" s="2" t="s">
        <v>564</v>
      </c>
      <c r="C462" s="3">
        <v>800</v>
      </c>
      <c r="D462" s="3">
        <v>15</v>
      </c>
      <c r="E462" s="18">
        <v>42713</v>
      </c>
      <c r="F462" s="18" t="s">
        <v>237</v>
      </c>
      <c r="G462" s="19" t="s">
        <v>659</v>
      </c>
      <c r="H462" s="3">
        <v>2</v>
      </c>
      <c r="I462" s="2" t="s">
        <v>730</v>
      </c>
      <c r="J462" s="1" t="str">
        <f t="shared" si="28"/>
        <v>1 - 39 Days</v>
      </c>
      <c r="K462" s="3">
        <v>38</v>
      </c>
      <c r="L462" s="2" t="s">
        <v>743</v>
      </c>
      <c r="M462" t="str">
        <f t="shared" si="29"/>
        <v>Mature</v>
      </c>
      <c r="N462" s="2" t="s">
        <v>738</v>
      </c>
      <c r="O462" s="1" t="str">
        <f t="shared" si="30"/>
        <v>Bachelor</v>
      </c>
      <c r="P462" s="2" t="s">
        <v>735</v>
      </c>
      <c r="Q462" t="str">
        <f t="shared" si="31"/>
        <v>Male</v>
      </c>
    </row>
    <row r="463" spans="1:17" x14ac:dyDescent="0.25">
      <c r="A463" s="1" t="s">
        <v>660</v>
      </c>
      <c r="B463" s="2" t="s">
        <v>564</v>
      </c>
      <c r="C463" s="3">
        <v>1000</v>
      </c>
      <c r="D463" s="3">
        <v>30</v>
      </c>
      <c r="E463" s="18">
        <v>42713</v>
      </c>
      <c r="F463" s="18">
        <v>42654</v>
      </c>
      <c r="G463" s="19" t="s">
        <v>661</v>
      </c>
      <c r="H463" s="3">
        <v>7</v>
      </c>
      <c r="I463" s="2" t="s">
        <v>730</v>
      </c>
      <c r="J463" s="1" t="str">
        <f t="shared" si="28"/>
        <v>1 - 39 Days</v>
      </c>
      <c r="K463" s="3">
        <v>38</v>
      </c>
      <c r="L463" s="2" t="s">
        <v>743</v>
      </c>
      <c r="M463" t="str">
        <f t="shared" si="29"/>
        <v>Mature</v>
      </c>
      <c r="N463" s="2" t="s">
        <v>737</v>
      </c>
      <c r="O463" s="1" t="str">
        <f t="shared" si="30"/>
        <v>High School Or Below</v>
      </c>
      <c r="P463" s="2" t="s">
        <v>735</v>
      </c>
      <c r="Q463" t="str">
        <f t="shared" si="31"/>
        <v>Male</v>
      </c>
    </row>
    <row r="464" spans="1:17" x14ac:dyDescent="0.25">
      <c r="A464" s="1" t="s">
        <v>662</v>
      </c>
      <c r="B464" s="2" t="s">
        <v>564</v>
      </c>
      <c r="C464" s="3">
        <v>1000</v>
      </c>
      <c r="D464" s="3">
        <v>30</v>
      </c>
      <c r="E464" s="18">
        <v>42713</v>
      </c>
      <c r="F464" s="18">
        <v>42654</v>
      </c>
      <c r="G464" s="19" t="s">
        <v>663</v>
      </c>
      <c r="H464" s="3">
        <v>5</v>
      </c>
      <c r="I464" s="2" t="s">
        <v>730</v>
      </c>
      <c r="J464" s="1" t="str">
        <f t="shared" si="28"/>
        <v>1 - 39 Days</v>
      </c>
      <c r="K464" s="3">
        <v>26</v>
      </c>
      <c r="L464" s="2" t="s">
        <v>745</v>
      </c>
      <c r="M464" t="str">
        <f t="shared" si="29"/>
        <v>Middle Aged</v>
      </c>
      <c r="N464" s="2" t="s">
        <v>739</v>
      </c>
      <c r="O464" s="1" t="str">
        <f t="shared" si="30"/>
        <v>College</v>
      </c>
      <c r="P464" s="2" t="s">
        <v>735</v>
      </c>
      <c r="Q464" t="str">
        <f t="shared" si="31"/>
        <v>Male</v>
      </c>
    </row>
    <row r="465" spans="1:17" x14ac:dyDescent="0.25">
      <c r="A465" s="1" t="s">
        <v>664</v>
      </c>
      <c r="B465" s="2" t="s">
        <v>564</v>
      </c>
      <c r="C465" s="3">
        <v>1000</v>
      </c>
      <c r="D465" s="3">
        <v>15</v>
      </c>
      <c r="E465" s="18">
        <v>42713</v>
      </c>
      <c r="F465" s="18" t="s">
        <v>237</v>
      </c>
      <c r="G465" s="19" t="s">
        <v>665</v>
      </c>
      <c r="H465" s="3">
        <v>4</v>
      </c>
      <c r="I465" s="2" t="s">
        <v>730</v>
      </c>
      <c r="J465" s="1" t="str">
        <f t="shared" si="28"/>
        <v>1 - 39 Days</v>
      </c>
      <c r="K465" s="3">
        <v>37</v>
      </c>
      <c r="L465" s="2" t="s">
        <v>743</v>
      </c>
      <c r="M465" t="str">
        <f t="shared" si="29"/>
        <v>Mature</v>
      </c>
      <c r="N465" s="2" t="s">
        <v>738</v>
      </c>
      <c r="O465" s="1" t="str">
        <f t="shared" si="30"/>
        <v>Bachelor</v>
      </c>
      <c r="P465" s="2" t="s">
        <v>735</v>
      </c>
      <c r="Q465" t="str">
        <f t="shared" si="31"/>
        <v>Male</v>
      </c>
    </row>
    <row r="466" spans="1:17" x14ac:dyDescent="0.25">
      <c r="A466" s="1" t="s">
        <v>666</v>
      </c>
      <c r="B466" s="2" t="s">
        <v>564</v>
      </c>
      <c r="C466" s="3">
        <v>1000</v>
      </c>
      <c r="D466" s="3">
        <v>30</v>
      </c>
      <c r="E466" s="18">
        <v>42713</v>
      </c>
      <c r="F466" s="18">
        <v>42654</v>
      </c>
      <c r="G466" s="19">
        <v>42685.720138888886</v>
      </c>
      <c r="H466" s="3">
        <v>1</v>
      </c>
      <c r="I466" s="2" t="s">
        <v>730</v>
      </c>
      <c r="J466" s="1" t="str">
        <f t="shared" si="28"/>
        <v>1 - 39 Days</v>
      </c>
      <c r="K466" s="3">
        <v>42</v>
      </c>
      <c r="L466" s="2" t="s">
        <v>743</v>
      </c>
      <c r="M466" t="str">
        <f t="shared" si="29"/>
        <v>Mature</v>
      </c>
      <c r="N466" s="2" t="s">
        <v>737</v>
      </c>
      <c r="O466" s="1" t="str">
        <f t="shared" si="30"/>
        <v>High School Or Below</v>
      </c>
      <c r="P466" s="2" t="s">
        <v>736</v>
      </c>
      <c r="Q466" t="str">
        <f t="shared" si="31"/>
        <v>Female</v>
      </c>
    </row>
    <row r="467" spans="1:17" x14ac:dyDescent="0.25">
      <c r="A467" s="1" t="s">
        <v>667</v>
      </c>
      <c r="B467" s="2" t="s">
        <v>564</v>
      </c>
      <c r="C467" s="3">
        <v>1000</v>
      </c>
      <c r="D467" s="3">
        <v>30</v>
      </c>
      <c r="E467" s="18">
        <v>42713</v>
      </c>
      <c r="F467" s="18">
        <v>42684</v>
      </c>
      <c r="G467" s="19">
        <v>42714.537499999999</v>
      </c>
      <c r="H467" s="3">
        <v>1</v>
      </c>
      <c r="I467" s="2" t="s">
        <v>730</v>
      </c>
      <c r="J467" s="1" t="str">
        <f t="shared" si="28"/>
        <v>1 - 39 Days</v>
      </c>
      <c r="K467" s="3">
        <v>49</v>
      </c>
      <c r="L467" s="2" t="s">
        <v>743</v>
      </c>
      <c r="M467" t="str">
        <f t="shared" si="29"/>
        <v>Mature</v>
      </c>
      <c r="N467" s="2" t="s">
        <v>737</v>
      </c>
      <c r="O467" s="1" t="str">
        <f t="shared" si="30"/>
        <v>High School Or Below</v>
      </c>
      <c r="P467" s="2" t="s">
        <v>736</v>
      </c>
      <c r="Q467" t="str">
        <f t="shared" si="31"/>
        <v>Female</v>
      </c>
    </row>
    <row r="468" spans="1:17" x14ac:dyDescent="0.25">
      <c r="A468" s="1" t="s">
        <v>668</v>
      </c>
      <c r="B468" s="2" t="s">
        <v>564</v>
      </c>
      <c r="C468" s="3">
        <v>1000</v>
      </c>
      <c r="D468" s="3">
        <v>30</v>
      </c>
      <c r="E468" s="18">
        <v>42713</v>
      </c>
      <c r="F468" s="18">
        <v>42684</v>
      </c>
      <c r="G468" s="19" t="s">
        <v>669</v>
      </c>
      <c r="H468" s="3">
        <v>4</v>
      </c>
      <c r="I468" s="2" t="s">
        <v>730</v>
      </c>
      <c r="J468" s="1" t="str">
        <f t="shared" si="28"/>
        <v>1 - 39 Days</v>
      </c>
      <c r="K468" s="3">
        <v>26</v>
      </c>
      <c r="L468" s="2" t="s">
        <v>745</v>
      </c>
      <c r="M468" t="str">
        <f t="shared" si="29"/>
        <v>Middle Aged</v>
      </c>
      <c r="N468" s="2" t="s">
        <v>737</v>
      </c>
      <c r="O468" s="1" t="str">
        <f t="shared" si="30"/>
        <v>High School Or Below</v>
      </c>
      <c r="P468" s="2" t="s">
        <v>735</v>
      </c>
      <c r="Q468" t="str">
        <f t="shared" si="31"/>
        <v>Male</v>
      </c>
    </row>
    <row r="469" spans="1:17" x14ac:dyDescent="0.25">
      <c r="A469" s="1" t="s">
        <v>670</v>
      </c>
      <c r="B469" s="2" t="s">
        <v>564</v>
      </c>
      <c r="C469" s="3">
        <v>1000</v>
      </c>
      <c r="D469" s="3">
        <v>15</v>
      </c>
      <c r="E469" s="18">
        <v>42713</v>
      </c>
      <c r="F469" s="18" t="s">
        <v>242</v>
      </c>
      <c r="G469" s="19" t="s">
        <v>671</v>
      </c>
      <c r="H469" s="3">
        <v>1</v>
      </c>
      <c r="I469" s="2" t="s">
        <v>730</v>
      </c>
      <c r="J469" s="1" t="str">
        <f t="shared" si="28"/>
        <v>1 - 39 Days</v>
      </c>
      <c r="K469" s="3">
        <v>41</v>
      </c>
      <c r="L469" s="2" t="s">
        <v>743</v>
      </c>
      <c r="M469" t="str">
        <f t="shared" si="29"/>
        <v>Mature</v>
      </c>
      <c r="N469" s="2" t="s">
        <v>737</v>
      </c>
      <c r="O469" s="1" t="str">
        <f t="shared" si="30"/>
        <v>High School Or Below</v>
      </c>
      <c r="P469" s="2" t="s">
        <v>735</v>
      </c>
      <c r="Q469" t="str">
        <f t="shared" si="31"/>
        <v>Male</v>
      </c>
    </row>
    <row r="470" spans="1:17" x14ac:dyDescent="0.25">
      <c r="A470" s="1" t="s">
        <v>672</v>
      </c>
      <c r="B470" s="2" t="s">
        <v>564</v>
      </c>
      <c r="C470" s="3">
        <v>1000</v>
      </c>
      <c r="D470" s="3">
        <v>30</v>
      </c>
      <c r="E470" s="18">
        <v>42713</v>
      </c>
      <c r="F470" s="18">
        <v>42684</v>
      </c>
      <c r="G470" s="19" t="s">
        <v>673</v>
      </c>
      <c r="H470" s="3">
        <v>4</v>
      </c>
      <c r="I470" s="2" t="s">
        <v>730</v>
      </c>
      <c r="J470" s="1" t="str">
        <f t="shared" si="28"/>
        <v>1 - 39 Days</v>
      </c>
      <c r="K470" s="3">
        <v>38</v>
      </c>
      <c r="L470" s="2" t="s">
        <v>743</v>
      </c>
      <c r="M470" t="str">
        <f t="shared" si="29"/>
        <v>Mature</v>
      </c>
      <c r="N470" s="2" t="s">
        <v>737</v>
      </c>
      <c r="O470" s="1" t="str">
        <f t="shared" si="30"/>
        <v>High School Or Below</v>
      </c>
      <c r="P470" s="2" t="s">
        <v>735</v>
      </c>
      <c r="Q470" t="str">
        <f t="shared" si="31"/>
        <v>Male</v>
      </c>
    </row>
    <row r="471" spans="1:17" x14ac:dyDescent="0.25">
      <c r="A471" s="1" t="s">
        <v>674</v>
      </c>
      <c r="B471" s="2" t="s">
        <v>564</v>
      </c>
      <c r="C471" s="3">
        <v>1000</v>
      </c>
      <c r="D471" s="3">
        <v>30</v>
      </c>
      <c r="E471" s="18">
        <v>42713</v>
      </c>
      <c r="F471" s="18">
        <v>42684</v>
      </c>
      <c r="G471" s="19">
        <v>42412.40625</v>
      </c>
      <c r="H471" s="3">
        <v>52</v>
      </c>
      <c r="I471" s="2" t="s">
        <v>729</v>
      </c>
      <c r="J471" s="1" t="str">
        <f t="shared" si="28"/>
        <v>40 - 80 Days</v>
      </c>
      <c r="K471" s="3">
        <v>26</v>
      </c>
      <c r="L471" s="2" t="s">
        <v>745</v>
      </c>
      <c r="M471" t="str">
        <f t="shared" si="29"/>
        <v>Middle Aged</v>
      </c>
      <c r="N471" s="2" t="s">
        <v>737</v>
      </c>
      <c r="O471" s="1" t="str">
        <f t="shared" si="30"/>
        <v>High School Or Below</v>
      </c>
      <c r="P471" s="2" t="s">
        <v>735</v>
      </c>
      <c r="Q471" t="str">
        <f t="shared" si="31"/>
        <v>Male</v>
      </c>
    </row>
    <row r="472" spans="1:17" x14ac:dyDescent="0.25">
      <c r="A472" s="1" t="s">
        <v>675</v>
      </c>
      <c r="B472" s="2" t="s">
        <v>564</v>
      </c>
      <c r="C472" s="3">
        <v>1000</v>
      </c>
      <c r="D472" s="3">
        <v>15</v>
      </c>
      <c r="E472" s="18">
        <v>42713</v>
      </c>
      <c r="F472" s="18" t="s">
        <v>237</v>
      </c>
      <c r="G472" s="19" t="s">
        <v>676</v>
      </c>
      <c r="H472" s="3">
        <v>2</v>
      </c>
      <c r="I472" s="2" t="s">
        <v>730</v>
      </c>
      <c r="J472" s="1" t="str">
        <f t="shared" si="28"/>
        <v>1 - 39 Days</v>
      </c>
      <c r="K472" s="3">
        <v>32</v>
      </c>
      <c r="L472" s="2" t="s">
        <v>745</v>
      </c>
      <c r="M472" t="str">
        <f t="shared" si="29"/>
        <v>Middle Aged</v>
      </c>
      <c r="N472" s="2" t="s">
        <v>737</v>
      </c>
      <c r="O472" s="1" t="str">
        <f t="shared" si="30"/>
        <v>High School Or Below</v>
      </c>
      <c r="P472" s="2" t="s">
        <v>735</v>
      </c>
      <c r="Q472" t="str">
        <f t="shared" si="31"/>
        <v>Male</v>
      </c>
    </row>
    <row r="473" spans="1:17" x14ac:dyDescent="0.25">
      <c r="A473" s="1" t="s">
        <v>677</v>
      </c>
      <c r="B473" s="2" t="s">
        <v>564</v>
      </c>
      <c r="C473" s="3">
        <v>1000</v>
      </c>
      <c r="D473" s="3">
        <v>30</v>
      </c>
      <c r="E473" s="18">
        <v>42713</v>
      </c>
      <c r="F473" s="18">
        <v>42684</v>
      </c>
      <c r="G473" s="19">
        <v>42471.615277777775</v>
      </c>
      <c r="H473" s="3">
        <v>24</v>
      </c>
      <c r="I473" s="2" t="s">
        <v>730</v>
      </c>
      <c r="J473" s="1" t="str">
        <f t="shared" si="28"/>
        <v>1 - 39 Days</v>
      </c>
      <c r="K473" s="3">
        <v>27</v>
      </c>
      <c r="L473" s="2" t="s">
        <v>745</v>
      </c>
      <c r="M473" t="str">
        <f t="shared" si="29"/>
        <v>Middle Aged</v>
      </c>
      <c r="N473" s="2" t="s">
        <v>738</v>
      </c>
      <c r="O473" s="1" t="str">
        <f t="shared" si="30"/>
        <v>Bachelor</v>
      </c>
      <c r="P473" s="2" t="s">
        <v>735</v>
      </c>
      <c r="Q473" t="str">
        <f t="shared" si="31"/>
        <v>Male</v>
      </c>
    </row>
    <row r="474" spans="1:17" x14ac:dyDescent="0.25">
      <c r="A474" s="1" t="s">
        <v>678</v>
      </c>
      <c r="B474" s="2" t="s">
        <v>564</v>
      </c>
      <c r="C474" s="3">
        <v>800</v>
      </c>
      <c r="D474" s="3">
        <v>15</v>
      </c>
      <c r="E474" s="18">
        <v>42713</v>
      </c>
      <c r="F474" s="18" t="s">
        <v>237</v>
      </c>
      <c r="G474" s="19" t="s">
        <v>679</v>
      </c>
      <c r="H474" s="3">
        <v>51</v>
      </c>
      <c r="I474" s="2" t="s">
        <v>729</v>
      </c>
      <c r="J474" s="1" t="str">
        <f t="shared" si="28"/>
        <v>40 - 80 Days</v>
      </c>
      <c r="K474" s="3">
        <v>33</v>
      </c>
      <c r="L474" s="2" t="s">
        <v>745</v>
      </c>
      <c r="M474" t="str">
        <f t="shared" si="29"/>
        <v>Middle Aged</v>
      </c>
      <c r="N474" s="2" t="s">
        <v>739</v>
      </c>
      <c r="O474" s="1" t="str">
        <f t="shared" si="30"/>
        <v>College</v>
      </c>
      <c r="P474" s="2" t="s">
        <v>735</v>
      </c>
      <c r="Q474" t="str">
        <f t="shared" si="31"/>
        <v>Male</v>
      </c>
    </row>
    <row r="475" spans="1:17" x14ac:dyDescent="0.25">
      <c r="A475" s="1" t="s">
        <v>680</v>
      </c>
      <c r="B475" s="2" t="s">
        <v>564</v>
      </c>
      <c r="C475" s="3">
        <v>1000</v>
      </c>
      <c r="D475" s="3">
        <v>30</v>
      </c>
      <c r="E475" s="18">
        <v>42713</v>
      </c>
      <c r="F475" s="18">
        <v>42684</v>
      </c>
      <c r="G475" s="19" t="s">
        <v>681</v>
      </c>
      <c r="H475" s="3">
        <v>3</v>
      </c>
      <c r="I475" s="2" t="s">
        <v>730</v>
      </c>
      <c r="J475" s="1" t="str">
        <f t="shared" si="28"/>
        <v>1 - 39 Days</v>
      </c>
      <c r="K475" s="3">
        <v>30</v>
      </c>
      <c r="L475" s="2" t="s">
        <v>745</v>
      </c>
      <c r="M475" t="str">
        <f t="shared" si="29"/>
        <v>Middle Aged</v>
      </c>
      <c r="N475" s="2" t="s">
        <v>737</v>
      </c>
      <c r="O475" s="1" t="str">
        <f t="shared" si="30"/>
        <v>High School Or Below</v>
      </c>
      <c r="P475" s="2" t="s">
        <v>735</v>
      </c>
      <c r="Q475" t="str">
        <f t="shared" si="31"/>
        <v>Male</v>
      </c>
    </row>
    <row r="476" spans="1:17" x14ac:dyDescent="0.25">
      <c r="A476" s="1" t="s">
        <v>682</v>
      </c>
      <c r="B476" s="2" t="s">
        <v>564</v>
      </c>
      <c r="C476" s="3">
        <v>800</v>
      </c>
      <c r="D476" s="3">
        <v>15</v>
      </c>
      <c r="E476" s="18">
        <v>42713</v>
      </c>
      <c r="F476" s="18" t="s">
        <v>237</v>
      </c>
      <c r="G476" s="19" t="s">
        <v>683</v>
      </c>
      <c r="H476" s="3">
        <v>2</v>
      </c>
      <c r="I476" s="2" t="s">
        <v>730</v>
      </c>
      <c r="J476" s="1" t="str">
        <f t="shared" si="28"/>
        <v>1 - 39 Days</v>
      </c>
      <c r="K476" s="3">
        <v>26</v>
      </c>
      <c r="L476" s="2" t="s">
        <v>745</v>
      </c>
      <c r="M476" t="str">
        <f t="shared" si="29"/>
        <v>Middle Aged</v>
      </c>
      <c r="N476" s="2" t="s">
        <v>737</v>
      </c>
      <c r="O476" s="1" t="str">
        <f t="shared" si="30"/>
        <v>High School Or Below</v>
      </c>
      <c r="P476" s="2" t="s">
        <v>736</v>
      </c>
      <c r="Q476" t="str">
        <f t="shared" si="31"/>
        <v>Female</v>
      </c>
    </row>
    <row r="477" spans="1:17" x14ac:dyDescent="0.25">
      <c r="A477" s="1" t="s">
        <v>684</v>
      </c>
      <c r="B477" s="2" t="s">
        <v>564</v>
      </c>
      <c r="C477" s="3">
        <v>1000</v>
      </c>
      <c r="D477" s="3">
        <v>30</v>
      </c>
      <c r="E477" s="18">
        <v>42713</v>
      </c>
      <c r="F477" s="18">
        <v>42684</v>
      </c>
      <c r="G477" s="19">
        <v>42624.758333333331</v>
      </c>
      <c r="H477" s="3">
        <v>29</v>
      </c>
      <c r="I477" s="2" t="s">
        <v>730</v>
      </c>
      <c r="J477" s="1" t="str">
        <f t="shared" si="28"/>
        <v>1 - 39 Days</v>
      </c>
      <c r="K477" s="3">
        <v>35</v>
      </c>
      <c r="L477" s="2" t="s">
        <v>743</v>
      </c>
      <c r="M477" t="str">
        <f t="shared" si="29"/>
        <v>Mature</v>
      </c>
      <c r="N477" s="2" t="s">
        <v>739</v>
      </c>
      <c r="O477" s="1" t="str">
        <f t="shared" si="30"/>
        <v>College</v>
      </c>
      <c r="P477" s="2" t="s">
        <v>736</v>
      </c>
      <c r="Q477" t="str">
        <f t="shared" si="31"/>
        <v>Female</v>
      </c>
    </row>
    <row r="478" spans="1:17" x14ac:dyDescent="0.25">
      <c r="A478" s="1" t="s">
        <v>685</v>
      </c>
      <c r="B478" s="2" t="s">
        <v>564</v>
      </c>
      <c r="C478" s="3">
        <v>800</v>
      </c>
      <c r="D478" s="3">
        <v>15</v>
      </c>
      <c r="E478" s="18">
        <v>42713</v>
      </c>
      <c r="F478" s="18" t="s">
        <v>242</v>
      </c>
      <c r="G478" s="19" t="s">
        <v>686</v>
      </c>
      <c r="H478" s="3">
        <v>5</v>
      </c>
      <c r="I478" s="2" t="s">
        <v>730</v>
      </c>
      <c r="J478" s="1" t="str">
        <f t="shared" si="28"/>
        <v>1 - 39 Days</v>
      </c>
      <c r="K478" s="3">
        <v>46</v>
      </c>
      <c r="L478" s="2" t="s">
        <v>743</v>
      </c>
      <c r="M478" t="str">
        <f t="shared" si="29"/>
        <v>Mature</v>
      </c>
      <c r="N478" s="2" t="s">
        <v>739</v>
      </c>
      <c r="O478" s="1" t="str">
        <f t="shared" si="30"/>
        <v>College</v>
      </c>
      <c r="P478" s="2" t="s">
        <v>736</v>
      </c>
      <c r="Q478" t="str">
        <f t="shared" si="31"/>
        <v>Female</v>
      </c>
    </row>
    <row r="479" spans="1:17" x14ac:dyDescent="0.25">
      <c r="A479" s="1" t="s">
        <v>687</v>
      </c>
      <c r="B479" s="2" t="s">
        <v>564</v>
      </c>
      <c r="C479" s="3">
        <v>1000</v>
      </c>
      <c r="D479" s="3">
        <v>30</v>
      </c>
      <c r="E479" s="18">
        <v>42713</v>
      </c>
      <c r="F479" s="18">
        <v>42684</v>
      </c>
      <c r="G479" s="19" t="s">
        <v>688</v>
      </c>
      <c r="H479" s="3">
        <v>9</v>
      </c>
      <c r="I479" s="2" t="s">
        <v>730</v>
      </c>
      <c r="J479" s="1" t="str">
        <f t="shared" si="28"/>
        <v>1 - 39 Days</v>
      </c>
      <c r="K479" s="3">
        <v>27</v>
      </c>
      <c r="L479" s="2" t="s">
        <v>745</v>
      </c>
      <c r="M479" t="str">
        <f t="shared" si="29"/>
        <v>Middle Aged</v>
      </c>
      <c r="N479" s="2" t="s">
        <v>739</v>
      </c>
      <c r="O479" s="1" t="str">
        <f t="shared" si="30"/>
        <v>College</v>
      </c>
      <c r="P479" s="2" t="s">
        <v>735</v>
      </c>
      <c r="Q479" t="str">
        <f t="shared" si="31"/>
        <v>Male</v>
      </c>
    </row>
    <row r="480" spans="1:17" x14ac:dyDescent="0.25">
      <c r="A480" s="1" t="s">
        <v>689</v>
      </c>
      <c r="B480" s="2" t="s">
        <v>564</v>
      </c>
      <c r="C480" s="3">
        <v>1000</v>
      </c>
      <c r="D480" s="3">
        <v>15</v>
      </c>
      <c r="E480" s="18">
        <v>42713</v>
      </c>
      <c r="F480" s="18">
        <v>42684</v>
      </c>
      <c r="G480" s="19">
        <v>42562.371527777781</v>
      </c>
      <c r="H480" s="3">
        <v>27</v>
      </c>
      <c r="I480" s="2" t="s">
        <v>730</v>
      </c>
      <c r="J480" s="1" t="str">
        <f t="shared" si="28"/>
        <v>1 - 39 Days</v>
      </c>
      <c r="K480" s="3">
        <v>22</v>
      </c>
      <c r="L480" s="2" t="s">
        <v>746</v>
      </c>
      <c r="M480" t="str">
        <f t="shared" si="29"/>
        <v xml:space="preserve"> Young Adults</v>
      </c>
      <c r="N480" s="2" t="s">
        <v>737</v>
      </c>
      <c r="O480" s="1" t="str">
        <f t="shared" si="30"/>
        <v>High School Or Below</v>
      </c>
      <c r="P480" s="2" t="s">
        <v>735</v>
      </c>
      <c r="Q480" t="str">
        <f t="shared" si="31"/>
        <v>Male</v>
      </c>
    </row>
    <row r="481" spans="1:17" x14ac:dyDescent="0.25">
      <c r="A481" s="1" t="s">
        <v>690</v>
      </c>
      <c r="B481" s="2" t="s">
        <v>564</v>
      </c>
      <c r="C481" s="3">
        <v>1000</v>
      </c>
      <c r="D481" s="3">
        <v>30</v>
      </c>
      <c r="E481" s="18">
        <v>42713</v>
      </c>
      <c r="F481" s="18">
        <v>42684</v>
      </c>
      <c r="G481" s="19">
        <v>42714.768055555556</v>
      </c>
      <c r="H481" s="3">
        <v>1</v>
      </c>
      <c r="I481" s="2" t="s">
        <v>730</v>
      </c>
      <c r="J481" s="1" t="str">
        <f t="shared" si="28"/>
        <v>1 - 39 Days</v>
      </c>
      <c r="K481" s="3">
        <v>27</v>
      </c>
      <c r="L481" s="2" t="s">
        <v>745</v>
      </c>
      <c r="M481" t="str">
        <f t="shared" si="29"/>
        <v>Middle Aged</v>
      </c>
      <c r="N481" s="2" t="s">
        <v>738</v>
      </c>
      <c r="O481" s="1" t="str">
        <f t="shared" si="30"/>
        <v>Bachelor</v>
      </c>
      <c r="P481" s="2" t="s">
        <v>735</v>
      </c>
      <c r="Q481" t="str">
        <f t="shared" si="31"/>
        <v>Male</v>
      </c>
    </row>
    <row r="482" spans="1:17" x14ac:dyDescent="0.25">
      <c r="A482" s="1" t="s">
        <v>691</v>
      </c>
      <c r="B482" s="2" t="s">
        <v>564</v>
      </c>
      <c r="C482" s="3">
        <v>1000</v>
      </c>
      <c r="D482" s="3">
        <v>15</v>
      </c>
      <c r="E482" s="18">
        <v>42713</v>
      </c>
      <c r="F482" s="18" t="s">
        <v>237</v>
      </c>
      <c r="G482" s="19" t="s">
        <v>692</v>
      </c>
      <c r="H482" s="3">
        <v>29</v>
      </c>
      <c r="I482" s="2" t="s">
        <v>730</v>
      </c>
      <c r="J482" s="1" t="str">
        <f t="shared" si="28"/>
        <v>1 - 39 Days</v>
      </c>
      <c r="K482" s="3">
        <v>30</v>
      </c>
      <c r="L482" s="2" t="s">
        <v>745</v>
      </c>
      <c r="M482" t="str">
        <f t="shared" si="29"/>
        <v>Middle Aged</v>
      </c>
      <c r="N482" s="2" t="s">
        <v>738</v>
      </c>
      <c r="O482" s="1" t="str">
        <f t="shared" si="30"/>
        <v>Bachelor</v>
      </c>
      <c r="P482" s="2" t="s">
        <v>735</v>
      </c>
      <c r="Q482" t="str">
        <f t="shared" si="31"/>
        <v>Male</v>
      </c>
    </row>
    <row r="483" spans="1:17" x14ac:dyDescent="0.25">
      <c r="A483" s="1" t="s">
        <v>693</v>
      </c>
      <c r="B483" s="2" t="s">
        <v>564</v>
      </c>
      <c r="C483" s="3">
        <v>1000</v>
      </c>
      <c r="D483" s="3">
        <v>15</v>
      </c>
      <c r="E483" s="18">
        <v>42713</v>
      </c>
      <c r="F483" s="18" t="s">
        <v>237</v>
      </c>
      <c r="G483" s="19" t="s">
        <v>694</v>
      </c>
      <c r="H483" s="3">
        <v>3</v>
      </c>
      <c r="I483" s="2" t="s">
        <v>730</v>
      </c>
      <c r="J483" s="1" t="str">
        <f t="shared" si="28"/>
        <v>1 - 39 Days</v>
      </c>
      <c r="K483" s="3">
        <v>27</v>
      </c>
      <c r="L483" s="2" t="s">
        <v>745</v>
      </c>
      <c r="M483" t="str">
        <f t="shared" si="29"/>
        <v>Middle Aged</v>
      </c>
      <c r="N483" s="2" t="s">
        <v>737</v>
      </c>
      <c r="O483" s="1" t="str">
        <f t="shared" si="30"/>
        <v>High School Or Below</v>
      </c>
      <c r="P483" s="2" t="s">
        <v>735</v>
      </c>
      <c r="Q483" t="str">
        <f t="shared" si="31"/>
        <v>Male</v>
      </c>
    </row>
    <row r="484" spans="1:17" x14ac:dyDescent="0.25">
      <c r="A484" s="1" t="s">
        <v>695</v>
      </c>
      <c r="B484" s="2" t="s">
        <v>564</v>
      </c>
      <c r="C484" s="3">
        <v>800</v>
      </c>
      <c r="D484" s="3">
        <v>15</v>
      </c>
      <c r="E484" s="18">
        <v>42713</v>
      </c>
      <c r="F484" s="18" t="s">
        <v>237</v>
      </c>
      <c r="G484" s="19" t="s">
        <v>696</v>
      </c>
      <c r="H484" s="3">
        <v>1</v>
      </c>
      <c r="I484" s="2" t="s">
        <v>730</v>
      </c>
      <c r="J484" s="1" t="str">
        <f t="shared" si="28"/>
        <v>1 - 39 Days</v>
      </c>
      <c r="K484" s="3">
        <v>47</v>
      </c>
      <c r="L484" s="2" t="s">
        <v>743</v>
      </c>
      <c r="M484" t="str">
        <f t="shared" si="29"/>
        <v>Mature</v>
      </c>
      <c r="N484" s="2" t="s">
        <v>739</v>
      </c>
      <c r="O484" s="1" t="str">
        <f t="shared" si="30"/>
        <v>College</v>
      </c>
      <c r="P484" s="2" t="s">
        <v>735</v>
      </c>
      <c r="Q484" t="str">
        <f t="shared" si="31"/>
        <v>Male</v>
      </c>
    </row>
    <row r="485" spans="1:17" x14ac:dyDescent="0.25">
      <c r="A485" s="1" t="s">
        <v>697</v>
      </c>
      <c r="B485" s="2" t="s">
        <v>564</v>
      </c>
      <c r="C485" s="3">
        <v>1000</v>
      </c>
      <c r="D485" s="3">
        <v>30</v>
      </c>
      <c r="E485" s="18">
        <v>42713</v>
      </c>
      <c r="F485" s="18">
        <v>42684</v>
      </c>
      <c r="G485" s="19" t="s">
        <v>698</v>
      </c>
      <c r="H485" s="3">
        <v>7</v>
      </c>
      <c r="I485" s="2" t="s">
        <v>730</v>
      </c>
      <c r="J485" s="1" t="str">
        <f t="shared" si="28"/>
        <v>1 - 39 Days</v>
      </c>
      <c r="K485" s="3">
        <v>30</v>
      </c>
      <c r="L485" s="2" t="s">
        <v>745</v>
      </c>
      <c r="M485" t="str">
        <f t="shared" si="29"/>
        <v>Middle Aged</v>
      </c>
      <c r="N485" s="2" t="s">
        <v>739</v>
      </c>
      <c r="O485" s="1" t="str">
        <f t="shared" si="30"/>
        <v>College</v>
      </c>
      <c r="P485" s="2" t="s">
        <v>735</v>
      </c>
      <c r="Q485" t="str">
        <f t="shared" si="31"/>
        <v>Male</v>
      </c>
    </row>
    <row r="486" spans="1:17" x14ac:dyDescent="0.25">
      <c r="A486" s="1" t="s">
        <v>699</v>
      </c>
      <c r="B486" s="2" t="s">
        <v>564</v>
      </c>
      <c r="C486" s="3">
        <v>1000</v>
      </c>
      <c r="D486" s="3">
        <v>30</v>
      </c>
      <c r="E486" s="18">
        <v>42713</v>
      </c>
      <c r="F486" s="18">
        <v>42684</v>
      </c>
      <c r="G486" s="19" t="s">
        <v>700</v>
      </c>
      <c r="H486" s="3">
        <v>4</v>
      </c>
      <c r="I486" s="2" t="s">
        <v>730</v>
      </c>
      <c r="J486" s="1" t="str">
        <f t="shared" si="28"/>
        <v>1 - 39 Days</v>
      </c>
      <c r="K486" s="3">
        <v>26</v>
      </c>
      <c r="L486" s="2" t="s">
        <v>745</v>
      </c>
      <c r="M486" t="str">
        <f t="shared" si="29"/>
        <v>Middle Aged</v>
      </c>
      <c r="N486" s="2" t="s">
        <v>739</v>
      </c>
      <c r="O486" s="1" t="str">
        <f t="shared" si="30"/>
        <v>College</v>
      </c>
      <c r="P486" s="2" t="s">
        <v>735</v>
      </c>
      <c r="Q486" t="str">
        <f t="shared" si="31"/>
        <v>Male</v>
      </c>
    </row>
    <row r="487" spans="1:17" x14ac:dyDescent="0.25">
      <c r="A487" s="1" t="s">
        <v>701</v>
      </c>
      <c r="B487" s="2" t="s">
        <v>564</v>
      </c>
      <c r="C487" s="3">
        <v>1000</v>
      </c>
      <c r="D487" s="3">
        <v>30</v>
      </c>
      <c r="E487" s="18">
        <v>42713</v>
      </c>
      <c r="F487" s="18">
        <v>42684</v>
      </c>
      <c r="G487" s="19" t="s">
        <v>702</v>
      </c>
      <c r="H487" s="3">
        <v>3</v>
      </c>
      <c r="I487" s="2" t="s">
        <v>730</v>
      </c>
      <c r="J487" s="1" t="str">
        <f t="shared" si="28"/>
        <v>1 - 39 Days</v>
      </c>
      <c r="K487" s="3">
        <v>38</v>
      </c>
      <c r="L487" s="2" t="s">
        <v>743</v>
      </c>
      <c r="M487" t="str">
        <f t="shared" si="29"/>
        <v>Mature</v>
      </c>
      <c r="N487" s="2" t="s">
        <v>737</v>
      </c>
      <c r="O487" s="1" t="str">
        <f t="shared" si="30"/>
        <v>High School Or Below</v>
      </c>
      <c r="P487" s="2" t="s">
        <v>735</v>
      </c>
      <c r="Q487" t="str">
        <f t="shared" si="31"/>
        <v>Male</v>
      </c>
    </row>
    <row r="488" spans="1:17" x14ac:dyDescent="0.25">
      <c r="A488" s="1" t="s">
        <v>703</v>
      </c>
      <c r="B488" s="2" t="s">
        <v>564</v>
      </c>
      <c r="C488" s="3">
        <v>800</v>
      </c>
      <c r="D488" s="3">
        <v>15</v>
      </c>
      <c r="E488" s="18">
        <v>42713</v>
      </c>
      <c r="F488" s="18" t="s">
        <v>237</v>
      </c>
      <c r="G488" s="19" t="s">
        <v>704</v>
      </c>
      <c r="H488" s="3">
        <v>56</v>
      </c>
      <c r="I488" s="2" t="s">
        <v>729</v>
      </c>
      <c r="J488" s="1" t="str">
        <f t="shared" si="28"/>
        <v>40 - 80 Days</v>
      </c>
      <c r="K488" s="3">
        <v>46</v>
      </c>
      <c r="L488" s="2" t="s">
        <v>743</v>
      </c>
      <c r="M488" t="str">
        <f t="shared" si="29"/>
        <v>Mature</v>
      </c>
      <c r="N488" s="2" t="s">
        <v>737</v>
      </c>
      <c r="O488" s="1" t="str">
        <f t="shared" si="30"/>
        <v>High School Or Below</v>
      </c>
      <c r="P488" s="2" t="s">
        <v>735</v>
      </c>
      <c r="Q488" t="str">
        <f t="shared" si="31"/>
        <v>Male</v>
      </c>
    </row>
    <row r="489" spans="1:17" x14ac:dyDescent="0.25">
      <c r="A489" s="1" t="s">
        <v>705</v>
      </c>
      <c r="B489" s="2" t="s">
        <v>564</v>
      </c>
      <c r="C489" s="3">
        <v>1000</v>
      </c>
      <c r="D489" s="3">
        <v>30</v>
      </c>
      <c r="E489" s="18">
        <v>42713</v>
      </c>
      <c r="F489" s="18">
        <v>42684</v>
      </c>
      <c r="G489" s="19" t="s">
        <v>706</v>
      </c>
      <c r="H489" s="3">
        <v>2</v>
      </c>
      <c r="I489" s="2" t="s">
        <v>730</v>
      </c>
      <c r="J489" s="1" t="str">
        <f t="shared" si="28"/>
        <v>1 - 39 Days</v>
      </c>
      <c r="K489" s="3">
        <v>35</v>
      </c>
      <c r="L489" s="2" t="s">
        <v>743</v>
      </c>
      <c r="M489" t="str">
        <f t="shared" si="29"/>
        <v>Mature</v>
      </c>
      <c r="N489" s="2" t="s">
        <v>738</v>
      </c>
      <c r="O489" s="1" t="str">
        <f t="shared" si="30"/>
        <v>Bachelor</v>
      </c>
      <c r="P489" s="2" t="s">
        <v>735</v>
      </c>
      <c r="Q489" t="str">
        <f t="shared" si="31"/>
        <v>Male</v>
      </c>
    </row>
    <row r="490" spans="1:17" x14ac:dyDescent="0.25">
      <c r="A490" s="1" t="s">
        <v>707</v>
      </c>
      <c r="B490" s="2" t="s">
        <v>564</v>
      </c>
      <c r="C490" s="3">
        <v>1000</v>
      </c>
      <c r="D490" s="3">
        <v>15</v>
      </c>
      <c r="E490" s="18">
        <v>42713</v>
      </c>
      <c r="F490" s="18" t="s">
        <v>237</v>
      </c>
      <c r="G490" s="19">
        <v>42623.8125</v>
      </c>
      <c r="H490" s="3">
        <v>13</v>
      </c>
      <c r="I490" s="2" t="s">
        <v>730</v>
      </c>
      <c r="J490" s="1" t="str">
        <f t="shared" si="28"/>
        <v>1 - 39 Days</v>
      </c>
      <c r="K490" s="3">
        <v>45</v>
      </c>
      <c r="L490" s="2" t="s">
        <v>743</v>
      </c>
      <c r="M490" t="str">
        <f t="shared" si="29"/>
        <v>Mature</v>
      </c>
      <c r="N490" s="2" t="s">
        <v>739</v>
      </c>
      <c r="O490" s="1" t="str">
        <f t="shared" si="30"/>
        <v>College</v>
      </c>
      <c r="P490" s="2" t="s">
        <v>735</v>
      </c>
      <c r="Q490" t="str">
        <f t="shared" si="31"/>
        <v>Male</v>
      </c>
    </row>
    <row r="491" spans="1:17" x14ac:dyDescent="0.25">
      <c r="A491" s="1" t="s">
        <v>708</v>
      </c>
      <c r="B491" s="2" t="s">
        <v>564</v>
      </c>
      <c r="C491" s="3">
        <v>1000</v>
      </c>
      <c r="D491" s="3">
        <v>30</v>
      </c>
      <c r="E491" s="18">
        <v>42713</v>
      </c>
      <c r="F491" s="18">
        <v>42684</v>
      </c>
      <c r="G491" s="19">
        <v>42714.75277777778</v>
      </c>
      <c r="H491" s="3">
        <v>1</v>
      </c>
      <c r="I491" s="2" t="s">
        <v>730</v>
      </c>
      <c r="J491" s="1" t="str">
        <f t="shared" si="28"/>
        <v>1 - 39 Days</v>
      </c>
      <c r="K491" s="3">
        <v>36</v>
      </c>
      <c r="L491" s="2" t="s">
        <v>743</v>
      </c>
      <c r="M491" t="str">
        <f t="shared" si="29"/>
        <v>Mature</v>
      </c>
      <c r="N491" s="2" t="s">
        <v>739</v>
      </c>
      <c r="O491" s="1" t="str">
        <f t="shared" si="30"/>
        <v>College</v>
      </c>
      <c r="P491" s="2" t="s">
        <v>735</v>
      </c>
      <c r="Q491" t="str">
        <f t="shared" si="31"/>
        <v>Male</v>
      </c>
    </row>
    <row r="492" spans="1:17" x14ac:dyDescent="0.25">
      <c r="A492" s="1" t="s">
        <v>709</v>
      </c>
      <c r="B492" s="2" t="s">
        <v>564</v>
      </c>
      <c r="C492" s="3">
        <v>1000</v>
      </c>
      <c r="D492" s="3">
        <v>30</v>
      </c>
      <c r="E492" s="18">
        <v>42713</v>
      </c>
      <c r="F492" s="18">
        <v>42684</v>
      </c>
      <c r="G492" s="19" t="s">
        <v>710</v>
      </c>
      <c r="H492" s="3">
        <v>6</v>
      </c>
      <c r="I492" s="2" t="s">
        <v>730</v>
      </c>
      <c r="J492" s="1" t="str">
        <f t="shared" si="28"/>
        <v>1 - 39 Days</v>
      </c>
      <c r="K492" s="3">
        <v>38</v>
      </c>
      <c r="L492" s="2" t="s">
        <v>743</v>
      </c>
      <c r="M492" t="str">
        <f t="shared" si="29"/>
        <v>Mature</v>
      </c>
      <c r="N492" s="2" t="s">
        <v>737</v>
      </c>
      <c r="O492" s="1" t="str">
        <f t="shared" si="30"/>
        <v>High School Or Below</v>
      </c>
      <c r="P492" s="2" t="s">
        <v>735</v>
      </c>
      <c r="Q492" t="str">
        <f t="shared" si="31"/>
        <v>Male</v>
      </c>
    </row>
    <row r="493" spans="1:17" x14ac:dyDescent="0.25">
      <c r="A493" s="1" t="s">
        <v>711</v>
      </c>
      <c r="B493" s="2" t="s">
        <v>564</v>
      </c>
      <c r="C493" s="3">
        <v>1000</v>
      </c>
      <c r="D493" s="3">
        <v>30</v>
      </c>
      <c r="E493" s="18">
        <v>42713</v>
      </c>
      <c r="F493" s="18">
        <v>42684</v>
      </c>
      <c r="G493" s="19">
        <v>42624.570138888892</v>
      </c>
      <c r="H493" s="3">
        <v>29</v>
      </c>
      <c r="I493" s="2" t="s">
        <v>730</v>
      </c>
      <c r="J493" s="1" t="str">
        <f t="shared" si="28"/>
        <v>1 - 39 Days</v>
      </c>
      <c r="K493" s="3">
        <v>27</v>
      </c>
      <c r="L493" s="2" t="s">
        <v>745</v>
      </c>
      <c r="M493" t="str">
        <f t="shared" si="29"/>
        <v>Middle Aged</v>
      </c>
      <c r="N493" s="2" t="s">
        <v>739</v>
      </c>
      <c r="O493" s="1" t="str">
        <f t="shared" si="30"/>
        <v>College</v>
      </c>
      <c r="P493" s="2" t="s">
        <v>735</v>
      </c>
      <c r="Q493" t="str">
        <f t="shared" si="31"/>
        <v>Male</v>
      </c>
    </row>
    <row r="494" spans="1:17" x14ac:dyDescent="0.25">
      <c r="A494" s="1" t="s">
        <v>712</v>
      </c>
      <c r="B494" s="2" t="s">
        <v>564</v>
      </c>
      <c r="C494" s="3">
        <v>1000</v>
      </c>
      <c r="D494" s="3">
        <v>30</v>
      </c>
      <c r="E494" s="18">
        <v>42713</v>
      </c>
      <c r="F494" s="18">
        <v>42684</v>
      </c>
      <c r="G494" s="19" t="s">
        <v>713</v>
      </c>
      <c r="H494" s="3">
        <v>14</v>
      </c>
      <c r="I494" s="2" t="s">
        <v>730</v>
      </c>
      <c r="J494" s="1" t="str">
        <f t="shared" si="28"/>
        <v>1 - 39 Days</v>
      </c>
      <c r="K494" s="3">
        <v>27</v>
      </c>
      <c r="L494" s="2" t="s">
        <v>745</v>
      </c>
      <c r="M494" t="str">
        <f t="shared" si="29"/>
        <v>Middle Aged</v>
      </c>
      <c r="N494" s="2" t="s">
        <v>738</v>
      </c>
      <c r="O494" s="1" t="str">
        <f t="shared" si="30"/>
        <v>Bachelor</v>
      </c>
      <c r="P494" s="2" t="s">
        <v>735</v>
      </c>
      <c r="Q494" t="str">
        <f t="shared" si="31"/>
        <v>Male</v>
      </c>
    </row>
    <row r="495" spans="1:17" x14ac:dyDescent="0.25">
      <c r="A495" s="1" t="s">
        <v>714</v>
      </c>
      <c r="B495" s="2" t="s">
        <v>564</v>
      </c>
      <c r="C495" s="3">
        <v>1000</v>
      </c>
      <c r="D495" s="3">
        <v>15</v>
      </c>
      <c r="E495" s="18">
        <v>42713</v>
      </c>
      <c r="F495" s="18" t="s">
        <v>237</v>
      </c>
      <c r="G495" s="19" t="s">
        <v>715</v>
      </c>
      <c r="H495" s="3">
        <v>3</v>
      </c>
      <c r="I495" s="2" t="s">
        <v>730</v>
      </c>
      <c r="J495" s="1" t="str">
        <f t="shared" si="28"/>
        <v>1 - 39 Days</v>
      </c>
      <c r="K495" s="3">
        <v>29</v>
      </c>
      <c r="L495" s="2" t="s">
        <v>745</v>
      </c>
      <c r="M495" t="str">
        <f t="shared" si="29"/>
        <v>Middle Aged</v>
      </c>
      <c r="N495" s="2" t="s">
        <v>739</v>
      </c>
      <c r="O495" s="1" t="str">
        <f t="shared" si="30"/>
        <v>College</v>
      </c>
      <c r="P495" s="2" t="s">
        <v>735</v>
      </c>
      <c r="Q495" t="str">
        <f t="shared" si="31"/>
        <v>Male</v>
      </c>
    </row>
    <row r="496" spans="1:17" x14ac:dyDescent="0.25">
      <c r="A496" s="1" t="s">
        <v>716</v>
      </c>
      <c r="B496" s="2" t="s">
        <v>564</v>
      </c>
      <c r="C496" s="3">
        <v>1000</v>
      </c>
      <c r="D496" s="3">
        <v>30</v>
      </c>
      <c r="E496" s="18">
        <v>42713</v>
      </c>
      <c r="F496" s="18">
        <v>42684</v>
      </c>
      <c r="G496" s="19" t="s">
        <v>717</v>
      </c>
      <c r="H496" s="3">
        <v>2</v>
      </c>
      <c r="I496" s="2" t="s">
        <v>730</v>
      </c>
      <c r="J496" s="1" t="str">
        <f t="shared" si="28"/>
        <v>1 - 39 Days</v>
      </c>
      <c r="K496" s="3">
        <v>30</v>
      </c>
      <c r="L496" s="2" t="s">
        <v>745</v>
      </c>
      <c r="M496" t="str">
        <f t="shared" si="29"/>
        <v>Middle Aged</v>
      </c>
      <c r="N496" s="2" t="s">
        <v>737</v>
      </c>
      <c r="O496" s="1" t="str">
        <f t="shared" si="30"/>
        <v>High School Or Below</v>
      </c>
      <c r="P496" s="2" t="s">
        <v>735</v>
      </c>
      <c r="Q496" t="str">
        <f t="shared" si="31"/>
        <v>Male</v>
      </c>
    </row>
    <row r="497" spans="1:17" x14ac:dyDescent="0.25">
      <c r="A497" s="1" t="s">
        <v>718</v>
      </c>
      <c r="B497" s="2" t="s">
        <v>564</v>
      </c>
      <c r="C497" s="3">
        <v>1000</v>
      </c>
      <c r="D497" s="3">
        <v>30</v>
      </c>
      <c r="E497" s="18">
        <v>42713</v>
      </c>
      <c r="F497" s="18">
        <v>42684</v>
      </c>
      <c r="G497" s="19" t="s">
        <v>719</v>
      </c>
      <c r="H497" s="3">
        <v>3</v>
      </c>
      <c r="I497" s="2" t="s">
        <v>730</v>
      </c>
      <c r="J497" s="1" t="str">
        <f t="shared" si="28"/>
        <v>1 - 39 Days</v>
      </c>
      <c r="K497" s="3">
        <v>28</v>
      </c>
      <c r="L497" s="2" t="s">
        <v>745</v>
      </c>
      <c r="M497" t="str">
        <f t="shared" si="29"/>
        <v>Middle Aged</v>
      </c>
      <c r="N497" s="2" t="s">
        <v>737</v>
      </c>
      <c r="O497" s="1" t="str">
        <f t="shared" si="30"/>
        <v>High School Or Below</v>
      </c>
      <c r="P497" s="2" t="s">
        <v>735</v>
      </c>
      <c r="Q497" t="str">
        <f t="shared" si="31"/>
        <v>Male</v>
      </c>
    </row>
    <row r="498" spans="1:17" x14ac:dyDescent="0.25">
      <c r="A498" s="1" t="s">
        <v>720</v>
      </c>
      <c r="B498" s="2" t="s">
        <v>564</v>
      </c>
      <c r="C498" s="3">
        <v>1000</v>
      </c>
      <c r="D498" s="3">
        <v>15</v>
      </c>
      <c r="E498" s="18">
        <v>42713</v>
      </c>
      <c r="F498" s="18" t="s">
        <v>237</v>
      </c>
      <c r="G498" s="19">
        <v>42653.834722222222</v>
      </c>
      <c r="H498" s="3">
        <v>14</v>
      </c>
      <c r="I498" s="2" t="s">
        <v>730</v>
      </c>
      <c r="J498" s="1" t="str">
        <f t="shared" si="28"/>
        <v>1 - 39 Days</v>
      </c>
      <c r="K498" s="3">
        <v>26</v>
      </c>
      <c r="L498" s="2" t="s">
        <v>745</v>
      </c>
      <c r="M498" t="str">
        <f t="shared" si="29"/>
        <v>Middle Aged</v>
      </c>
      <c r="N498" s="2" t="s">
        <v>737</v>
      </c>
      <c r="O498" s="1" t="str">
        <f t="shared" si="30"/>
        <v>High School Or Below</v>
      </c>
      <c r="P498" s="2" t="s">
        <v>735</v>
      </c>
      <c r="Q498" t="str">
        <f t="shared" si="31"/>
        <v>Male</v>
      </c>
    </row>
    <row r="499" spans="1:17" x14ac:dyDescent="0.25">
      <c r="A499" s="1" t="s">
        <v>721</v>
      </c>
      <c r="B499" s="2" t="s">
        <v>564</v>
      </c>
      <c r="C499" s="3">
        <v>800</v>
      </c>
      <c r="D499" s="3">
        <v>15</v>
      </c>
      <c r="E499" s="18">
        <v>42713</v>
      </c>
      <c r="F499" s="18" t="s">
        <v>237</v>
      </c>
      <c r="G499" s="19" t="s">
        <v>722</v>
      </c>
      <c r="H499" s="3">
        <v>3</v>
      </c>
      <c r="I499" s="2" t="s">
        <v>730</v>
      </c>
      <c r="J499" s="1" t="str">
        <f t="shared" si="28"/>
        <v>1 - 39 Days</v>
      </c>
      <c r="K499" s="3">
        <v>30</v>
      </c>
      <c r="L499" s="2" t="s">
        <v>745</v>
      </c>
      <c r="M499" t="str">
        <f t="shared" si="29"/>
        <v>Middle Aged</v>
      </c>
      <c r="N499" s="2" t="s">
        <v>739</v>
      </c>
      <c r="O499" s="1" t="str">
        <f t="shared" si="30"/>
        <v>College</v>
      </c>
      <c r="P499" s="2" t="s">
        <v>735</v>
      </c>
      <c r="Q499" t="str">
        <f t="shared" si="31"/>
        <v>Male</v>
      </c>
    </row>
    <row r="500" spans="1:17" x14ac:dyDescent="0.25">
      <c r="A500" s="1" t="s">
        <v>723</v>
      </c>
      <c r="B500" s="2" t="s">
        <v>564</v>
      </c>
      <c r="C500" s="3">
        <v>1000</v>
      </c>
      <c r="D500" s="3">
        <v>30</v>
      </c>
      <c r="E500" s="18">
        <v>42713</v>
      </c>
      <c r="F500" s="18">
        <v>42654</v>
      </c>
      <c r="G500" s="19">
        <v>42685.944444444445</v>
      </c>
      <c r="H500" s="3">
        <v>1</v>
      </c>
      <c r="I500" s="2" t="s">
        <v>730</v>
      </c>
      <c r="J500" s="1" t="str">
        <f t="shared" si="28"/>
        <v>1 - 39 Days</v>
      </c>
      <c r="K500" s="3">
        <v>38</v>
      </c>
      <c r="L500" s="2" t="s">
        <v>743</v>
      </c>
      <c r="M500" t="str">
        <f t="shared" si="29"/>
        <v>Mature</v>
      </c>
      <c r="N500" s="2" t="s">
        <v>739</v>
      </c>
      <c r="O500" s="1" t="str">
        <f t="shared" si="30"/>
        <v>College</v>
      </c>
      <c r="P500" s="2" t="s">
        <v>736</v>
      </c>
      <c r="Q500" t="str">
        <f t="shared" si="31"/>
        <v>Female</v>
      </c>
    </row>
    <row r="501" spans="1:17" x14ac:dyDescent="0.25">
      <c r="A501" s="1" t="s">
        <v>724</v>
      </c>
      <c r="B501" s="2" t="s">
        <v>564</v>
      </c>
      <c r="C501" s="3">
        <v>1000</v>
      </c>
      <c r="D501" s="3">
        <v>30</v>
      </c>
      <c r="E501" s="18">
        <v>42713</v>
      </c>
      <c r="F501" s="18">
        <v>42684</v>
      </c>
      <c r="G501" s="19" t="s">
        <v>725</v>
      </c>
      <c r="H501" s="3">
        <v>8</v>
      </c>
      <c r="I501" s="2" t="s">
        <v>730</v>
      </c>
      <c r="J501" s="1" t="str">
        <f t="shared" si="28"/>
        <v>1 - 39 Days</v>
      </c>
      <c r="K501" s="3">
        <v>28</v>
      </c>
      <c r="L501" s="2" t="s">
        <v>745</v>
      </c>
      <c r="M501" t="str">
        <f t="shared" si="29"/>
        <v>Middle Aged</v>
      </c>
      <c r="N501" s="2" t="s">
        <v>737</v>
      </c>
      <c r="O501" s="1" t="str">
        <f t="shared" si="30"/>
        <v>High School Or Below</v>
      </c>
      <c r="P501" s="2" t="s">
        <v>735</v>
      </c>
      <c r="Q501" t="str">
        <f t="shared" si="31"/>
        <v>Male</v>
      </c>
    </row>
  </sheetData>
  <autoFilter ref="D1:D501" xr:uid="{B13CB6A8-5F25-4E34-8595-32BC4BC63DC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B444C6-5638-496B-93B2-259D582C3A1D}">
  <dimension ref="A1:C9"/>
  <sheetViews>
    <sheetView zoomScaleNormal="100" workbookViewId="0">
      <selection activeCell="B15" sqref="B15"/>
    </sheetView>
  </sheetViews>
  <sheetFormatPr defaultRowHeight="15" x14ac:dyDescent="0.25"/>
  <cols>
    <col min="1" max="1" width="25.7109375" customWidth="1"/>
    <col min="2" max="2" width="29.42578125" customWidth="1"/>
    <col min="3" max="3" width="68.28515625" customWidth="1"/>
  </cols>
  <sheetData>
    <row r="1" spans="1:3" ht="61.5" x14ac:dyDescent="0.25">
      <c r="A1" s="13" t="s">
        <v>764</v>
      </c>
      <c r="B1" s="13"/>
      <c r="C1" s="13"/>
    </row>
    <row r="2" spans="1:3" x14ac:dyDescent="0.25">
      <c r="A2" s="14"/>
      <c r="B2" s="14"/>
      <c r="C2" s="14"/>
    </row>
    <row r="3" spans="1:3" ht="28.5" customHeight="1" x14ac:dyDescent="0.45">
      <c r="A3" s="8" t="s">
        <v>765</v>
      </c>
      <c r="B3" s="8" t="s">
        <v>726</v>
      </c>
      <c r="C3" s="8" t="s">
        <v>727</v>
      </c>
    </row>
    <row r="4" spans="1:3" x14ac:dyDescent="0.25">
      <c r="A4" s="4" t="s">
        <v>747</v>
      </c>
      <c r="B4" s="5">
        <f>COUNTA('Loan Payment Data'!A2:A501)</f>
        <v>500</v>
      </c>
      <c r="C4" s="5" t="s">
        <v>753</v>
      </c>
    </row>
    <row r="5" spans="1:3" x14ac:dyDescent="0.25">
      <c r="A5" s="4" t="s">
        <v>748</v>
      </c>
      <c r="B5" s="6">
        <f>SUM('Loan Payment Data'!C2:C502)</f>
        <v>471600</v>
      </c>
      <c r="C5" s="5" t="s">
        <v>754</v>
      </c>
    </row>
    <row r="6" spans="1:3" x14ac:dyDescent="0.25">
      <c r="A6" s="4" t="s">
        <v>749</v>
      </c>
      <c r="B6" s="5">
        <f>COUNTIF('Loan Payment Data'!B2:B501, "COLLECTION")</f>
        <v>100</v>
      </c>
      <c r="C6" s="5" t="s">
        <v>755</v>
      </c>
    </row>
    <row r="7" spans="1:3" x14ac:dyDescent="0.25">
      <c r="A7" s="4" t="s">
        <v>750</v>
      </c>
      <c r="B7" s="5">
        <f>SUMIFS('Loan Payment Data'!C2:C501, 'Loan Payment Data'!B2:B501, "COLLECTION")</f>
        <v>95400</v>
      </c>
      <c r="C7" s="5" t="s">
        <v>756</v>
      </c>
    </row>
    <row r="8" spans="1:3" x14ac:dyDescent="0.25">
      <c r="A8" s="4" t="s">
        <v>751</v>
      </c>
      <c r="B8" s="5">
        <f>COUNTIF('Loan Payment Data'!I2:I501, " 40 - 80 Days")</f>
        <v>99</v>
      </c>
      <c r="C8" s="5" t="s">
        <v>757</v>
      </c>
    </row>
    <row r="9" spans="1:3" x14ac:dyDescent="0.25">
      <c r="A9" s="4" t="s">
        <v>752</v>
      </c>
      <c r="B9" s="7">
        <f>COUNTIFS('Loan Payment Data'!B2:B501,"COLLECTION")/COUNTA('Loan Payment Data'!A2:A501)</f>
        <v>0.2</v>
      </c>
      <c r="C9" s="5" t="s">
        <v>758</v>
      </c>
    </row>
  </sheetData>
  <mergeCells count="2">
    <mergeCell ref="A1:C1"/>
    <mergeCell ref="A2:C2"/>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A5DD8-1FA5-4E7D-8D3C-1A8D8E9982FF}">
  <dimension ref="A1:N66"/>
  <sheetViews>
    <sheetView showGridLines="0" workbookViewId="0">
      <selection sqref="A1:J1"/>
    </sheetView>
  </sheetViews>
  <sheetFormatPr defaultRowHeight="15" x14ac:dyDescent="0.25"/>
  <cols>
    <col min="1" max="1" width="20.85546875" bestFit="1" customWidth="1"/>
    <col min="2" max="2" width="16.140625" bestFit="1" customWidth="1"/>
    <col min="3" max="3" width="15.42578125" bestFit="1" customWidth="1"/>
    <col min="4" max="4" width="8.7109375" bestFit="1" customWidth="1"/>
    <col min="5" max="5" width="11.28515625" bestFit="1" customWidth="1"/>
    <col min="6" max="6" width="20.85546875" bestFit="1" customWidth="1"/>
    <col min="7" max="7" width="8.7109375" bestFit="1" customWidth="1"/>
    <col min="8" max="8" width="21.140625" bestFit="1" customWidth="1"/>
    <col min="9" max="9" width="20.42578125" bestFit="1" customWidth="1"/>
  </cols>
  <sheetData>
    <row r="1" spans="1:14" ht="61.5" customHeight="1" x14ac:dyDescent="0.9">
      <c r="A1" s="15" t="s">
        <v>767</v>
      </c>
      <c r="B1" s="16"/>
      <c r="C1" s="16"/>
      <c r="D1" s="16"/>
      <c r="E1" s="16"/>
      <c r="F1" s="16"/>
      <c r="G1" s="16"/>
      <c r="H1" s="16"/>
      <c r="I1" s="16"/>
      <c r="J1" s="16"/>
      <c r="K1" s="12"/>
      <c r="L1" s="12"/>
      <c r="M1" s="12"/>
      <c r="N1" s="12"/>
    </row>
    <row r="8" spans="1:14" x14ac:dyDescent="0.25">
      <c r="A8" s="9" t="s">
        <v>759</v>
      </c>
      <c r="B8" t="s">
        <v>761</v>
      </c>
      <c r="C8" t="s">
        <v>762</v>
      </c>
    </row>
    <row r="9" spans="1:14" x14ac:dyDescent="0.25">
      <c r="A9" s="10" t="s">
        <v>372</v>
      </c>
      <c r="B9" s="1">
        <v>23</v>
      </c>
      <c r="C9" s="1">
        <v>20900</v>
      </c>
    </row>
    <row r="10" spans="1:14" x14ac:dyDescent="0.25">
      <c r="A10" s="10" t="s">
        <v>412</v>
      </c>
      <c r="B10" s="1">
        <v>33</v>
      </c>
      <c r="C10" s="1">
        <v>31400</v>
      </c>
    </row>
    <row r="11" spans="1:14" x14ac:dyDescent="0.25">
      <c r="A11" s="11">
        <v>42591</v>
      </c>
      <c r="B11" s="1">
        <v>4</v>
      </c>
      <c r="C11" s="1">
        <v>4000</v>
      </c>
    </row>
    <row r="12" spans="1:14" x14ac:dyDescent="0.25">
      <c r="A12" s="11">
        <v>42622</v>
      </c>
      <c r="B12" s="1">
        <v>15</v>
      </c>
      <c r="C12" s="1">
        <v>13700</v>
      </c>
    </row>
    <row r="13" spans="1:14" x14ac:dyDescent="0.25">
      <c r="A13" s="11">
        <v>42652</v>
      </c>
      <c r="B13" s="1">
        <v>46</v>
      </c>
      <c r="C13" s="1">
        <v>43200</v>
      </c>
    </row>
    <row r="14" spans="1:14" x14ac:dyDescent="0.25">
      <c r="A14" s="11">
        <v>42683</v>
      </c>
      <c r="B14" s="1">
        <v>231</v>
      </c>
      <c r="C14" s="1">
        <v>219000</v>
      </c>
    </row>
    <row r="15" spans="1:14" x14ac:dyDescent="0.25">
      <c r="A15" s="11">
        <v>42713</v>
      </c>
      <c r="B15" s="1">
        <v>148</v>
      </c>
      <c r="C15" s="1">
        <v>139400</v>
      </c>
    </row>
    <row r="16" spans="1:14" x14ac:dyDescent="0.25">
      <c r="A16" s="10" t="s">
        <v>760</v>
      </c>
      <c r="B16" s="1">
        <v>500</v>
      </c>
      <c r="C16" s="1">
        <v>471600</v>
      </c>
    </row>
    <row r="28" spans="1:5" x14ac:dyDescent="0.25">
      <c r="A28" s="9" t="s">
        <v>761</v>
      </c>
      <c r="B28" s="9" t="s">
        <v>763</v>
      </c>
    </row>
    <row r="29" spans="1:5" x14ac:dyDescent="0.25">
      <c r="A29" s="9" t="s">
        <v>759</v>
      </c>
      <c r="B29" t="s">
        <v>462</v>
      </c>
      <c r="C29" t="s">
        <v>564</v>
      </c>
      <c r="D29" t="s">
        <v>11</v>
      </c>
      <c r="E29" t="s">
        <v>760</v>
      </c>
    </row>
    <row r="30" spans="1:5" x14ac:dyDescent="0.25">
      <c r="A30" s="10" t="s">
        <v>736</v>
      </c>
      <c r="B30" s="1">
        <v>10</v>
      </c>
      <c r="C30" s="1">
        <v>14</v>
      </c>
      <c r="D30" s="1">
        <v>53</v>
      </c>
      <c r="E30" s="1">
        <v>77</v>
      </c>
    </row>
    <row r="31" spans="1:5" x14ac:dyDescent="0.25">
      <c r="A31" s="10" t="s">
        <v>735</v>
      </c>
      <c r="B31" s="1">
        <v>90</v>
      </c>
      <c r="C31" s="1">
        <v>86</v>
      </c>
      <c r="D31" s="1">
        <v>247</v>
      </c>
      <c r="E31" s="1">
        <v>423</v>
      </c>
    </row>
    <row r="32" spans="1:5" x14ac:dyDescent="0.25">
      <c r="A32" s="10" t="s">
        <v>760</v>
      </c>
      <c r="B32" s="1">
        <v>100</v>
      </c>
      <c r="C32" s="1">
        <v>100</v>
      </c>
      <c r="D32" s="1">
        <v>300</v>
      </c>
      <c r="E32" s="1">
        <v>500</v>
      </c>
    </row>
    <row r="42" spans="1:3" x14ac:dyDescent="0.25">
      <c r="A42" s="9" t="s">
        <v>759</v>
      </c>
      <c r="B42" t="s">
        <v>762</v>
      </c>
      <c r="C42" t="s">
        <v>761</v>
      </c>
    </row>
    <row r="43" spans="1:3" x14ac:dyDescent="0.25">
      <c r="A43" s="10" t="s">
        <v>746</v>
      </c>
      <c r="B43" s="1">
        <v>70700</v>
      </c>
      <c r="C43" s="1">
        <v>75</v>
      </c>
    </row>
    <row r="44" spans="1:3" x14ac:dyDescent="0.25">
      <c r="A44" s="10" t="s">
        <v>743</v>
      </c>
      <c r="B44" s="1">
        <v>141600</v>
      </c>
      <c r="C44" s="1">
        <v>153</v>
      </c>
    </row>
    <row r="45" spans="1:3" x14ac:dyDescent="0.25">
      <c r="A45" s="10" t="s">
        <v>745</v>
      </c>
      <c r="B45" s="1">
        <v>254700</v>
      </c>
      <c r="C45" s="1">
        <v>267</v>
      </c>
    </row>
    <row r="46" spans="1:3" x14ac:dyDescent="0.25">
      <c r="A46" s="10" t="s">
        <v>744</v>
      </c>
      <c r="B46" s="1">
        <v>4600</v>
      </c>
      <c r="C46" s="1">
        <v>5</v>
      </c>
    </row>
    <row r="47" spans="1:3" x14ac:dyDescent="0.25">
      <c r="A47" s="10" t="s">
        <v>760</v>
      </c>
      <c r="B47" s="1">
        <v>471600</v>
      </c>
      <c r="C47" s="1">
        <v>500</v>
      </c>
    </row>
    <row r="62" spans="1:3" x14ac:dyDescent="0.25">
      <c r="A62" s="9" t="s">
        <v>759</v>
      </c>
      <c r="B62" t="s">
        <v>761</v>
      </c>
      <c r="C62" t="s">
        <v>762</v>
      </c>
    </row>
    <row r="63" spans="1:3" x14ac:dyDescent="0.25">
      <c r="A63" s="10" t="s">
        <v>462</v>
      </c>
      <c r="B63" s="1">
        <v>100</v>
      </c>
      <c r="C63" s="1">
        <v>95400</v>
      </c>
    </row>
    <row r="64" spans="1:3" x14ac:dyDescent="0.25">
      <c r="A64" s="10" t="s">
        <v>564</v>
      </c>
      <c r="B64" s="1">
        <v>100</v>
      </c>
      <c r="C64" s="1">
        <v>95700</v>
      </c>
    </row>
    <row r="65" spans="1:3" x14ac:dyDescent="0.25">
      <c r="A65" s="10" t="s">
        <v>11</v>
      </c>
      <c r="B65" s="1">
        <v>300</v>
      </c>
      <c r="C65" s="1">
        <v>280500</v>
      </c>
    </row>
    <row r="66" spans="1:3" x14ac:dyDescent="0.25">
      <c r="A66" s="10" t="s">
        <v>760</v>
      </c>
      <c r="B66" s="1">
        <v>500</v>
      </c>
      <c r="C66" s="1">
        <v>471600</v>
      </c>
    </row>
  </sheetData>
  <mergeCells count="1">
    <mergeCell ref="A1:J1"/>
  </mergeCells>
  <pageMargins left="0.7" right="0.7" top="0.75" bottom="0.75" header="0.3" footer="0.3"/>
  <pageSetup orientation="portrait" r:id="rId5"/>
  <drawing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BEFB1-D0AD-4D02-BA32-D10300F65773}">
  <dimension ref="A1:S6"/>
  <sheetViews>
    <sheetView showGridLines="0" zoomScaleNormal="100" workbookViewId="0">
      <selection activeCell="U24" sqref="U24"/>
    </sheetView>
  </sheetViews>
  <sheetFormatPr defaultRowHeight="15" x14ac:dyDescent="0.25"/>
  <sheetData>
    <row r="1" spans="1:19" ht="15" customHeight="1" x14ac:dyDescent="0.25">
      <c r="A1" s="17" t="s">
        <v>766</v>
      </c>
      <c r="B1" s="17"/>
      <c r="C1" s="17"/>
      <c r="D1" s="17"/>
      <c r="E1" s="17"/>
      <c r="F1" s="17"/>
      <c r="G1" s="17"/>
      <c r="H1" s="17"/>
      <c r="I1" s="17"/>
      <c r="J1" s="17"/>
      <c r="K1" s="17"/>
      <c r="L1" s="17"/>
      <c r="M1" s="17"/>
      <c r="N1" s="17"/>
      <c r="O1" s="17"/>
      <c r="P1" s="17"/>
      <c r="Q1" s="17"/>
      <c r="R1" s="17"/>
      <c r="S1" s="17"/>
    </row>
    <row r="2" spans="1:19" ht="15" customHeight="1" x14ac:dyDescent="0.25">
      <c r="A2" s="17"/>
      <c r="B2" s="17"/>
      <c r="C2" s="17"/>
      <c r="D2" s="17"/>
      <c r="E2" s="17"/>
      <c r="F2" s="17"/>
      <c r="G2" s="17"/>
      <c r="H2" s="17"/>
      <c r="I2" s="17"/>
      <c r="J2" s="17"/>
      <c r="K2" s="17"/>
      <c r="L2" s="17"/>
      <c r="M2" s="17"/>
      <c r="N2" s="17"/>
      <c r="O2" s="17"/>
      <c r="P2" s="17"/>
      <c r="Q2" s="17"/>
      <c r="R2" s="17"/>
      <c r="S2" s="17"/>
    </row>
    <row r="3" spans="1:19" ht="15" customHeight="1" x14ac:dyDescent="0.25">
      <c r="A3" s="17"/>
      <c r="B3" s="17"/>
      <c r="C3" s="17"/>
      <c r="D3" s="17"/>
      <c r="E3" s="17"/>
      <c r="F3" s="17"/>
      <c r="G3" s="17"/>
      <c r="H3" s="17"/>
      <c r="I3" s="17"/>
      <c r="J3" s="17"/>
      <c r="K3" s="17"/>
      <c r="L3" s="17"/>
      <c r="M3" s="17"/>
      <c r="N3" s="17"/>
      <c r="O3" s="17"/>
      <c r="P3" s="17"/>
      <c r="Q3" s="17"/>
      <c r="R3" s="17"/>
      <c r="S3" s="17"/>
    </row>
    <row r="4" spans="1:19" ht="15" customHeight="1" x14ac:dyDescent="0.25">
      <c r="A4" s="17"/>
      <c r="B4" s="17"/>
      <c r="C4" s="17"/>
      <c r="D4" s="17"/>
      <c r="E4" s="17"/>
      <c r="F4" s="17"/>
      <c r="G4" s="17"/>
      <c r="H4" s="17"/>
      <c r="I4" s="17"/>
      <c r="J4" s="17"/>
      <c r="K4" s="17"/>
      <c r="L4" s="17"/>
      <c r="M4" s="17"/>
      <c r="N4" s="17"/>
      <c r="O4" s="17"/>
      <c r="P4" s="17"/>
      <c r="Q4" s="17"/>
      <c r="R4" s="17"/>
      <c r="S4" s="17"/>
    </row>
    <row r="5" spans="1:19" ht="15" customHeight="1" x14ac:dyDescent="0.25">
      <c r="A5" s="17"/>
      <c r="B5" s="17"/>
      <c r="C5" s="17"/>
      <c r="D5" s="17"/>
      <c r="E5" s="17"/>
      <c r="F5" s="17"/>
      <c r="G5" s="17"/>
      <c r="H5" s="17"/>
      <c r="I5" s="17"/>
      <c r="J5" s="17"/>
      <c r="K5" s="17"/>
      <c r="L5" s="17"/>
      <c r="M5" s="17"/>
      <c r="N5" s="17"/>
      <c r="O5" s="17"/>
      <c r="P5" s="17"/>
      <c r="Q5" s="17"/>
      <c r="R5" s="17"/>
      <c r="S5" s="17"/>
    </row>
    <row r="6" spans="1:19" ht="15" customHeight="1" x14ac:dyDescent="0.25">
      <c r="A6" s="17"/>
      <c r="B6" s="17"/>
      <c r="C6" s="17"/>
      <c r="D6" s="17"/>
      <c r="E6" s="17"/>
      <c r="F6" s="17"/>
      <c r="G6" s="17"/>
      <c r="H6" s="17"/>
      <c r="I6" s="17"/>
      <c r="J6" s="17"/>
      <c r="K6" s="17"/>
      <c r="L6" s="17"/>
      <c r="M6" s="17"/>
      <c r="N6" s="17"/>
      <c r="O6" s="17"/>
      <c r="P6" s="17"/>
      <c r="Q6" s="17"/>
      <c r="R6" s="17"/>
      <c r="S6" s="17"/>
    </row>
  </sheetData>
  <mergeCells count="1">
    <mergeCell ref="A1:S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Loan Payment Data</vt:lpstr>
      <vt:lpstr>KPI Summary</vt:lpstr>
      <vt:lpstr> Pivot Tables</vt:lpstr>
      <vt:lpstr>Dashaboard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 Freberg</dc:creator>
  <cp:lastModifiedBy>USER</cp:lastModifiedBy>
  <dcterms:created xsi:type="dcterms:W3CDTF">2021-12-30T01:03:31Z</dcterms:created>
  <dcterms:modified xsi:type="dcterms:W3CDTF">2026-09-07T03:35:32Z</dcterms:modified>
</cp:coreProperties>
</file>